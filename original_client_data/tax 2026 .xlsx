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lancer_tesla_2026" sheetId="1" r:id="rId4"/>
  </sheets>
  <definedNames/>
  <calcPr/>
</workbook>
</file>

<file path=xl/sharedStrings.xml><?xml version="1.0" encoding="utf-8"?>
<sst xmlns="http://schemas.openxmlformats.org/spreadsheetml/2006/main" count="178" uniqueCount="107">
  <si>
    <t xml:space="preserve">Belasting aangifte schatting 2026 AOW </t>
  </si>
  <si>
    <t>Value / Rate</t>
  </si>
  <si>
    <t>Hours on location (hr)</t>
  </si>
  <si>
    <t>Enter manually</t>
  </si>
  <si>
    <t>Rate on location (€ / hr)</t>
  </si>
  <si>
    <t>Hours home office (hr)</t>
  </si>
  <si>
    <t>Rate home office (€ / hr)</t>
  </si>
  <si>
    <t>Revenue on location (€)</t>
  </si>
  <si>
    <t>Revenue home office (€)</t>
  </si>
  <si>
    <t>Total Revenue (€)</t>
  </si>
  <si>
    <t>Winst uit Onderneming</t>
  </si>
  <si>
    <t>Total Revenue</t>
  </si>
  <si>
    <t>Tesla Model Y purchase (€)</t>
  </si>
  <si>
    <t>VAT recovered (€)</t>
  </si>
  <si>
    <t>21% VAT portion reclaimable</t>
  </si>
  <si>
    <t>Tesla base cost (€)</t>
  </si>
  <si>
    <t>Cost excluding recoverable VAT</t>
  </si>
  <si>
    <t>Depreciation (5 yrs linear) (€ / yr)</t>
  </si>
  <si>
    <t>Linear depreciation over 5 years</t>
  </si>
  <si>
    <t>KIA deduction (€)</t>
  </si>
  <si>
    <t>One-time business investment deduction , 28%</t>
  </si>
  <si>
    <t>Operational Costs (Tesla) (€) ballpark</t>
  </si>
  <si>
    <t xml:space="preserve">charging 10ct/km , insurance 1200, road tax 600 </t>
  </si>
  <si>
    <t>12000 km, at 10cts/km</t>
  </si>
  <si>
    <t>Interest Payment on IBKR loan on car base cost</t>
  </si>
  <si>
    <t>5% on margin loan from IBKR</t>
  </si>
  <si>
    <t>Total car Expenses (€)</t>
  </si>
  <si>
    <t>Depreciation + KIA + operational costs</t>
  </si>
  <si>
    <t>Private use km</t>
  </si>
  <si>
    <t xml:space="preserve">maybe no private km if using e-bike also </t>
  </si>
  <si>
    <t xml:space="preserve">Bijtelling % </t>
  </si>
  <si>
    <t>vast percentage vanaf 2026</t>
  </si>
  <si>
    <t>Bijtelling (€)</t>
  </si>
  <si>
    <t>Taxable value of private use</t>
  </si>
  <si>
    <t>Profit before deductions , to calculate arbeidskorting</t>
  </si>
  <si>
    <t>Revenue – Expenses + Bijtelling</t>
  </si>
  <si>
    <t>Zelfstandigenaftrek (€)</t>
  </si>
  <si>
    <t>Fixed deduction</t>
  </si>
  <si>
    <t>Startersaftrek (€)</t>
  </si>
  <si>
    <t>Extra for first 5 years</t>
  </si>
  <si>
    <t>Profit after deductions (€)</t>
  </si>
  <si>
    <t>MKB winstvrijstelling percentage</t>
  </si>
  <si>
    <t>winstvrijstelling op winst uit je onderneming</t>
  </si>
  <si>
    <t>MKB winstvrijstelling</t>
  </si>
  <si>
    <t>Taxable Profit after all deductions (€)</t>
  </si>
  <si>
    <t>Income Tax Rate (%) AOW</t>
  </si>
  <si>
    <t>Estimated Income Tax before arbeidskorting (€)</t>
  </si>
  <si>
    <t>Algemene Heffingskorting ( already used for Box 3 ! )</t>
  </si>
  <si>
    <t>Arbeidskorting (€) tops at 46000 taxable profit</t>
  </si>
  <si>
    <t>NOTE: voor aow de helft van normale arbeidskorting !!!</t>
  </si>
  <si>
    <t>Estimated Income Tax after arbeidskorting (€)</t>
  </si>
  <si>
    <t>Final tax pressure</t>
  </si>
  <si>
    <t>Net Cash (€) , before operational costs and interest</t>
  </si>
  <si>
    <t>Revenue – Expenses – Estimated Income Tax after arbeidskorting</t>
  </si>
  <si>
    <t>Net cash after all expenses</t>
  </si>
  <si>
    <t xml:space="preserve">Montly net income </t>
  </si>
  <si>
    <t>Total billed hours</t>
  </si>
  <si>
    <t xml:space="preserve">Average net per hour </t>
  </si>
  <si>
    <t>Belasting aangifte schatting 2026 tot pensioenleeftijd</t>
  </si>
  <si>
    <t>Formula / Notes</t>
  </si>
  <si>
    <t>Minimum aantal uren per jaar / ook gedeeltelijk</t>
  </si>
  <si>
    <t>boekhouden, adminisstratie , aquisitieijd !!!  etc mag ook meegeteld worden , reistijd ???</t>
  </si>
  <si>
    <t>Thuiswerken , fictief meeste uren tellen hiervoor !</t>
  </si>
  <si>
    <t>B2 = hours B3 = rate</t>
  </si>
  <si>
    <t>B5 = hours B6 = rate</t>
  </si>
  <si>
    <t>sum of location + home office</t>
  </si>
  <si>
    <t xml:space="preserve">Total Revenue (€) =B8 or enter manually </t>
  </si>
  <si>
    <t>Profit before deductions (€)  (voor arbeidskorting)</t>
  </si>
  <si>
    <t>winstvrijstelling op winst uit onderneming</t>
  </si>
  <si>
    <t>Taxable Profit after deductions</t>
  </si>
  <si>
    <t xml:space="preserve">Income Tax Rate (%) </t>
  </si>
  <si>
    <t>From previous row</t>
  </si>
  <si>
    <t>Algemene Heffingskorting</t>
  </si>
  <si>
    <t>Arbeidskorting (€) tops at 46000 winst uit onderneming</t>
  </si>
  <si>
    <t>top is ongeveer 12%  bij 46000 winst uit onderneming</t>
  </si>
  <si>
    <t>maar ongeveer de helft bij aow !!!</t>
  </si>
  <si>
    <t xml:space="preserve">Estimated Income Tax </t>
  </si>
  <si>
    <t>U hebt in 2026 het hele jaar de AOW-leeftijd</t>
  </si>
  <si>
    <t>Tabel arbeidskorting: in 2026 het hele jaar de AOW-leeftijd Arbeidsinkomen</t>
  </si>
  <si>
    <t>Arbeidskorting *</t>
  </si>
  <si>
    <t>tot € 11.965</t>
  </si>
  <si>
    <t>4,156% x arbeidsinkomen</t>
  </si>
  <si>
    <t>vanaf € 11.965 tot € 25.845</t>
  </si>
  <si>
    <t>€ 498 + 15,483% x (arbeidsinkomen - € 11.965)</t>
  </si>
  <si>
    <t>vanaf € 25.845 tot € 45.592</t>
  </si>
  <si>
    <t>€ 2.647 + 0,974% x (arbeidsinkomen - € 25.845)</t>
  </si>
  <si>
    <t>vanaf € 45.592 tot € 132.920</t>
  </si>
  <si>
    <t xml:space="preserve">€ 2.840 - 3,250% x (arbeidsinkomen - € 45.592)  </t>
  </si>
  <si>
    <t>ARBEIDSKORTING</t>
  </si>
  <si>
    <t xml:space="preserve">arbeidsinkomen </t>
  </si>
  <si>
    <t>until 12000</t>
  </si>
  <si>
    <t>from 12000 to 25000</t>
  </si>
  <si>
    <t>from 25000 to 45500</t>
  </si>
  <si>
    <t xml:space="preserve">This is the max for AOW tax free Winst uit onderneming </t>
  </si>
  <si>
    <t>from 45500 to 133000</t>
  </si>
  <si>
    <t>Arbeidskorting zzp afhankelijk van belastbare winst</t>
  </si>
  <si>
    <t xml:space="preserve">Zoals vaker het geval is in het Nederlands belastingstelsel, is de hoogte van de arbeidskorting afhankelijk van de hoogte van het arbeidsinkomen. </t>
  </si>
  <si>
    <t xml:space="preserve">In geval van zelfstandig ondernemers wordt de arbeidskorting berekend op basis van de winst vóór ondernemersaftrek en mkb-winstvrijstelling. </t>
  </si>
  <si>
    <t xml:space="preserve">Of simpel gezegd: het bedrag van de omzet minus de kosten. Arbeidsinkomen kan </t>
  </si>
  <si>
    <t>o.a. ook bestaan uit overige inkomsten uit werk, loon, uitkeringen, fooien en aandelenoptierechten.</t>
  </si>
  <si>
    <t>Arbeidsinkomen</t>
  </si>
  <si>
    <t>€ 2.840 - 3,250% x (arbeidsinkomen - € 45.592)</t>
  </si>
  <si>
    <t>vanaf € 132.920</t>
  </si>
  <si>
    <t xml:space="preserve">voorbeeld </t>
  </si>
  <si>
    <t xml:space="preserve">arbeidsinkomen = winst uit onderneming -kosten </t>
  </si>
  <si>
    <t>60000-business expenses</t>
  </si>
  <si>
    <t xml:space="preserve">indien auto :  ongeveer 5000 per year iin interest ibkr and insurance , road tax , charging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</si>
</sst>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"/>
    <numFmt numFmtId="165" formatCode="0.0%"/>
  </numFmts>
  <fonts count="13">
    <font>
      <sz val="10.0"/>
      <color rgb="FF000000"/>
      <name val="Arial"/>
      <scheme val="minor"/>
    </font>
    <font>
      <sz val="13.0"/>
      <color rgb="FFFF00FF"/>
      <name val="Arial"/>
      <scheme val="minor"/>
    </font>
    <font>
      <sz val="13.0"/>
      <color theme="1"/>
      <name val="Arial"/>
      <scheme val="minor"/>
    </font>
    <font>
      <sz val="13.0"/>
      <color rgb="FF34A853"/>
      <name val="Arial"/>
      <scheme val="minor"/>
    </font>
    <font>
      <sz val="15.0"/>
      <color rgb="FF34A853"/>
      <name val="Arial"/>
      <scheme val="minor"/>
    </font>
    <font>
      <sz val="15.0"/>
      <color theme="1"/>
      <name val="Arial"/>
      <scheme val="minor"/>
    </font>
    <font>
      <sz val="13.0"/>
      <color theme="5"/>
      <name val="Arial"/>
      <scheme val="minor"/>
    </font>
    <font>
      <sz val="13.0"/>
      <color theme="8"/>
      <name val="Arial"/>
      <scheme val="minor"/>
    </font>
    <font>
      <sz val="13.0"/>
      <color rgb="FFFF6D0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right" readingOrder="0"/>
    </xf>
    <xf borderId="0" fillId="0" fontId="5" numFmtId="0" xfId="0" applyFont="1"/>
    <xf borderId="0" fillId="0" fontId="2" numFmtId="3" xfId="0" applyAlignment="1" applyFont="1" applyNumberFormat="1">
      <alignment horizontal="right" readingOrder="0"/>
    </xf>
    <xf borderId="0" fillId="0" fontId="2" numFmtId="9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Font="1" applyNumberFormat="1"/>
    <xf borderId="0" fillId="0" fontId="3" numFmtId="164" xfId="0" applyAlignment="1" applyFont="1" applyNumberFormat="1">
      <alignment readingOrder="0"/>
    </xf>
    <xf borderId="0" fillId="0" fontId="2" numFmtId="10" xfId="0" applyAlignment="1" applyFont="1" applyNumberFormat="1">
      <alignment horizontal="right"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9" xfId="0" applyAlignment="1" applyFont="1" applyNumberForma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7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/>
    </xf>
    <xf borderId="0" fillId="0" fontId="4" numFmtId="0" xfId="0" applyFont="1"/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horizontal="right" readingOrder="0"/>
    </xf>
    <xf borderId="0" fillId="2" fontId="2" numFmtId="0" xfId="0" applyAlignment="1" applyFont="1">
      <alignment horizontal="right"/>
    </xf>
    <xf borderId="0" fillId="2" fontId="2" numFmtId="0" xfId="0" applyFont="1"/>
    <xf borderId="0" fillId="0" fontId="3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3" fontId="8" numFmtId="0" xfId="0" applyAlignment="1" applyFill="1" applyFont="1">
      <alignment readingOrder="0"/>
    </xf>
    <xf borderId="0" fillId="3" fontId="8" numFmtId="164" xfId="0" applyAlignment="1" applyFont="1" applyNumberFormat="1">
      <alignment readingOrder="0"/>
    </xf>
    <xf borderId="0" fillId="3" fontId="2" numFmtId="0" xfId="0" applyAlignment="1" applyFont="1">
      <alignment horizontal="right"/>
    </xf>
    <xf borderId="0" fillId="3" fontId="2" numFmtId="0" xfId="0" applyFont="1"/>
    <xf borderId="0" fillId="0" fontId="8" numFmtId="9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9" numFmtId="0" xfId="0" applyAlignment="1" applyFont="1">
      <alignment readingOrder="0"/>
    </xf>
    <xf borderId="0" fillId="0" fontId="10" numFmtId="164" xfId="0" applyAlignment="1" applyFont="1" applyNumberFormat="1">
      <alignment horizontal="right"/>
    </xf>
    <xf borderId="0" fillId="0" fontId="10" numFmtId="0" xfId="0" applyAlignment="1" applyFont="1">
      <alignment horizontal="right"/>
    </xf>
    <xf borderId="0" fillId="0" fontId="10" numFmtId="0" xfId="0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readingOrder="0"/>
    </xf>
    <xf borderId="0" fillId="0" fontId="12" numFmtId="164" xfId="0" applyAlignment="1" applyFont="1" applyNumberFormat="1">
      <alignment horizontal="left"/>
    </xf>
    <xf borderId="0" fillId="0" fontId="1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58.0"/>
    <col customWidth="1" min="3" max="3" width="113.63"/>
    <col customWidth="1" min="4" max="4" width="21.88"/>
    <col customWidth="1" min="5" max="26" width="51.6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/>
      <c r="B2" s="2"/>
      <c r="C2" s="4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2</v>
      </c>
      <c r="B3" s="3">
        <v>500.0</v>
      </c>
      <c r="C3" s="3" t="s">
        <v>3</v>
      </c>
      <c r="D3" s="3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4</v>
      </c>
      <c r="B4" s="2">
        <v>70.0</v>
      </c>
      <c r="C4" s="3" t="s">
        <v>3</v>
      </c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7"/>
      <c r="C5" s="3"/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5</v>
      </c>
      <c r="B6" s="3">
        <v>500.0</v>
      </c>
      <c r="C6" s="3" t="s">
        <v>3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6</v>
      </c>
      <c r="B7" s="2">
        <v>50.0</v>
      </c>
      <c r="C7" s="3" t="s">
        <v>3</v>
      </c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/>
      <c r="B8" s="7"/>
      <c r="C8" s="3"/>
      <c r="D8" s="3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7</v>
      </c>
      <c r="B9" s="7">
        <f>B3*B4</f>
        <v>35000</v>
      </c>
      <c r="C9" s="3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 t="s">
        <v>8</v>
      </c>
      <c r="B10" s="7">
        <f>B6*B7</f>
        <v>25000</v>
      </c>
      <c r="C10" s="3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9"/>
      <c r="C11" s="3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 t="s">
        <v>9</v>
      </c>
      <c r="B12" s="9">
        <f>B9+B10</f>
        <v>60000</v>
      </c>
      <c r="C12" s="3" t="s">
        <v>10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/>
      <c r="B13" s="2"/>
      <c r="C13" s="4"/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11</v>
      </c>
      <c r="B14" s="11">
        <v>60000.0</v>
      </c>
      <c r="C14" s="12"/>
      <c r="D14" s="13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6"/>
      <c r="B15" s="2"/>
      <c r="C15" s="4"/>
      <c r="D15" s="3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 t="s">
        <v>12</v>
      </c>
      <c r="B16" s="2">
        <v>50000.0</v>
      </c>
      <c r="C16" s="4"/>
      <c r="D16" s="3" t="s">
        <v>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 t="s">
        <v>13</v>
      </c>
      <c r="B17" s="7">
        <f>B16/1.21*0.21</f>
        <v>8677.68595</v>
      </c>
      <c r="C17" s="3" t="s">
        <v>14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 t="s">
        <v>15</v>
      </c>
      <c r="B18" s="7">
        <f>B16-B17</f>
        <v>41322.31405</v>
      </c>
      <c r="C18" s="3" t="s">
        <v>16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4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6" t="s">
        <v>17</v>
      </c>
      <c r="B20" s="7">
        <f>B18/5</f>
        <v>8264.46281</v>
      </c>
      <c r="C20" s="3" t="s">
        <v>18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6" t="s">
        <v>19</v>
      </c>
      <c r="B21" s="2">
        <f>0.28*B18</f>
        <v>11570.24793</v>
      </c>
      <c r="C21" s="3" t="s">
        <v>20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6" t="s">
        <v>21</v>
      </c>
      <c r="B22" s="15">
        <v>3000.0</v>
      </c>
      <c r="C22" s="3" t="s">
        <v>22</v>
      </c>
      <c r="D22" s="6" t="s">
        <v>23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6" t="s">
        <v>24</v>
      </c>
      <c r="B23" s="7">
        <f>B18*5%</f>
        <v>2066.115702</v>
      </c>
      <c r="C23" s="3" t="s">
        <v>25</v>
      </c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 t="s">
        <v>26</v>
      </c>
      <c r="B24" s="7">
        <f>B20+B21+B22+B23</f>
        <v>24900.82645</v>
      </c>
      <c r="C24" s="3" t="s">
        <v>27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6" t="s">
        <v>28</v>
      </c>
      <c r="B26" s="15">
        <v>6000.0</v>
      </c>
      <c r="C26" s="3" t="s">
        <v>29</v>
      </c>
      <c r="D26" s="3" t="s">
        <v>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6" t="s">
        <v>30</v>
      </c>
      <c r="B27" s="16">
        <v>0.22</v>
      </c>
      <c r="C27" s="3" t="s">
        <v>31</v>
      </c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 t="s">
        <v>32</v>
      </c>
      <c r="B28" s="2">
        <f>B18*B27</f>
        <v>9090.909091</v>
      </c>
      <c r="C28" s="3" t="s">
        <v>33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/>
      <c r="B29" s="7"/>
      <c r="C29" s="3"/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" t="s">
        <v>34</v>
      </c>
      <c r="B30" s="17">
        <f>B14-B24+B27</f>
        <v>35099.39355</v>
      </c>
      <c r="C30" s="3" t="s">
        <v>35</v>
      </c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6"/>
      <c r="B31" s="18"/>
      <c r="C31" s="3"/>
      <c r="D31" s="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6" t="s">
        <v>36</v>
      </c>
      <c r="B32" s="18">
        <v>1200.0</v>
      </c>
      <c r="C32" s="3" t="s">
        <v>37</v>
      </c>
      <c r="D32" s="3" t="s">
        <v>3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 t="s">
        <v>38</v>
      </c>
      <c r="B33" s="18">
        <v>2123.0</v>
      </c>
      <c r="C33" s="3" t="s">
        <v>39</v>
      </c>
      <c r="D33" s="3" t="s">
        <v>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 t="s">
        <v>40</v>
      </c>
      <c r="B34" s="18">
        <f>B30-B32-B33-B36</f>
        <v>31776.26655</v>
      </c>
      <c r="C34" s="4"/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6"/>
      <c r="B35" s="19"/>
      <c r="C35" s="4"/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6" t="s">
        <v>41</v>
      </c>
      <c r="B36" s="19">
        <v>0.127</v>
      </c>
      <c r="C36" s="3" t="s">
        <v>42</v>
      </c>
      <c r="D36" s="3" t="s">
        <v>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6" t="s">
        <v>43</v>
      </c>
      <c r="B37" s="20">
        <f>B36*B14</f>
        <v>7620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8" t="s">
        <v>44</v>
      </c>
      <c r="B39" s="21">
        <f>B34-B37</f>
        <v>24156.26655</v>
      </c>
      <c r="C39" s="4"/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19"/>
      <c r="C40" s="3"/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 t="s">
        <v>45</v>
      </c>
      <c r="B41" s="22">
        <v>0.1785</v>
      </c>
      <c r="C41" s="3"/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 t="s">
        <v>46</v>
      </c>
      <c r="B42" s="18">
        <f>B39*B41</f>
        <v>4311.89358</v>
      </c>
      <c r="C42" s="3"/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18"/>
      <c r="C43" s="3"/>
      <c r="D43" s="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 t="s">
        <v>47</v>
      </c>
      <c r="B44" s="18">
        <v>0.0</v>
      </c>
      <c r="C44" s="3"/>
      <c r="D44" s="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 t="s">
        <v>48</v>
      </c>
      <c r="B45" s="18">
        <f>5700/2</f>
        <v>2850</v>
      </c>
      <c r="C45" s="3" t="s">
        <v>49</v>
      </c>
      <c r="D45" s="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23"/>
      <c r="C46" s="4"/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4" t="s">
        <v>50</v>
      </c>
      <c r="B47" s="25">
        <f>B42-B45</f>
        <v>1461.89358</v>
      </c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4"/>
      <c r="B48" s="26"/>
      <c r="C48" s="27"/>
      <c r="D48" s="28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4" t="s">
        <v>51</v>
      </c>
      <c r="B49" s="30">
        <f>B47/B14</f>
        <v>0.024364893</v>
      </c>
      <c r="C49" s="27"/>
      <c r="D49" s="28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8"/>
      <c r="B50" s="21"/>
      <c r="C50" s="27"/>
      <c r="D50" s="28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10" t="s">
        <v>52</v>
      </c>
      <c r="B51" s="31">
        <f>B14-B47</f>
        <v>58538.10642</v>
      </c>
      <c r="C51" s="32" t="s">
        <v>53</v>
      </c>
      <c r="D51" s="33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6" t="s">
        <v>54</v>
      </c>
      <c r="B52" s="2">
        <f>B51-B22-B23</f>
        <v>53471.99072</v>
      </c>
      <c r="C52" s="3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2"/>
      <c r="C53" s="3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 t="s">
        <v>55</v>
      </c>
      <c r="B54" s="2">
        <f>B52/12</f>
        <v>4455.999226</v>
      </c>
      <c r="C54" s="3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 t="s">
        <v>56</v>
      </c>
      <c r="B55" s="3">
        <f>B3+B6</f>
        <v>1000</v>
      </c>
      <c r="C55" s="3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 t="s">
        <v>57</v>
      </c>
      <c r="B56" s="2">
        <f>B52/B55</f>
        <v>53.47199072</v>
      </c>
      <c r="C56" s="3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2"/>
      <c r="C57" s="3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5"/>
      <c r="B58" s="36"/>
      <c r="C58" s="37"/>
      <c r="D58" s="37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8"/>
      <c r="B59" s="39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8"/>
      <c r="B60" s="39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8"/>
      <c r="B61" s="39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" t="s">
        <v>58</v>
      </c>
      <c r="B62" s="2" t="s">
        <v>1</v>
      </c>
      <c r="C62" s="3" t="s">
        <v>59</v>
      </c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 t="s">
        <v>60</v>
      </c>
      <c r="B63" s="2">
        <v>1225.0</v>
      </c>
      <c r="C63" s="3" t="s">
        <v>61</v>
      </c>
      <c r="D63" s="3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 t="s">
        <v>62</v>
      </c>
      <c r="B64" s="2"/>
      <c r="C64" s="4"/>
      <c r="D64" s="3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2"/>
      <c r="C65" s="4"/>
      <c r="D65" s="3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 t="s">
        <v>2</v>
      </c>
      <c r="B66" s="3">
        <v>500.0</v>
      </c>
      <c r="C66" s="4"/>
      <c r="D66" s="3" t="s">
        <v>3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 t="s">
        <v>4</v>
      </c>
      <c r="B67" s="2">
        <v>70.0</v>
      </c>
      <c r="C67" s="4"/>
      <c r="D67" s="3" t="s">
        <v>3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6" t="s">
        <v>5</v>
      </c>
      <c r="B69" s="3">
        <v>500.0</v>
      </c>
      <c r="C69" s="4"/>
      <c r="D69" s="3" t="s">
        <v>3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 t="s">
        <v>6</v>
      </c>
      <c r="B70" s="2">
        <v>50.0</v>
      </c>
      <c r="C70" s="4"/>
      <c r="D70" s="3" t="s">
        <v>3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/>
      <c r="B71" s="7"/>
      <c r="C71" s="3"/>
      <c r="D71" s="3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 t="s">
        <v>7</v>
      </c>
      <c r="B72" s="7">
        <f>B66*B67</f>
        <v>35000</v>
      </c>
      <c r="C72" s="3" t="s">
        <v>63</v>
      </c>
      <c r="D72" s="3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6" t="s">
        <v>8</v>
      </c>
      <c r="B73" s="7">
        <f>B69*B70</f>
        <v>25000</v>
      </c>
      <c r="C73" s="3" t="s">
        <v>64</v>
      </c>
      <c r="D73" s="3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8"/>
      <c r="B74" s="9"/>
      <c r="C74" s="3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8" t="s">
        <v>9</v>
      </c>
      <c r="B75" s="9">
        <f>B72+B73</f>
        <v>60000</v>
      </c>
      <c r="C75" s="3" t="s">
        <v>65</v>
      </c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/>
      <c r="B76" s="2"/>
      <c r="C76" s="4"/>
      <c r="D76" s="3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8" t="s">
        <v>66</v>
      </c>
      <c r="B77" s="39">
        <v>60000.0</v>
      </c>
      <c r="C77" s="4"/>
      <c r="D77" s="3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6"/>
      <c r="B78" s="2"/>
      <c r="C78" s="4"/>
      <c r="D78" s="3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 t="s">
        <v>12</v>
      </c>
      <c r="B79" s="2">
        <v>50000.0</v>
      </c>
      <c r="C79" s="4"/>
      <c r="D79" s="3" t="s">
        <v>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6" t="s">
        <v>13</v>
      </c>
      <c r="B80" s="7">
        <f>B79/1.21*0.21</f>
        <v>8677.68595</v>
      </c>
      <c r="C80" s="3" t="s">
        <v>14</v>
      </c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6" t="s">
        <v>15</v>
      </c>
      <c r="B81" s="7">
        <f>B79-B80</f>
        <v>41322.31405</v>
      </c>
      <c r="C81" s="3" t="s">
        <v>16</v>
      </c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6"/>
      <c r="B82" s="4"/>
      <c r="C82" s="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 t="s">
        <v>17</v>
      </c>
      <c r="B83" s="7">
        <f>B81/5</f>
        <v>8264.46281</v>
      </c>
      <c r="C83" s="3" t="s">
        <v>18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6" t="s">
        <v>19</v>
      </c>
      <c r="B84" s="2">
        <f>0.28*B81</f>
        <v>11570.24793</v>
      </c>
      <c r="C84" s="3" t="s">
        <v>20</v>
      </c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6" t="s">
        <v>21</v>
      </c>
      <c r="B85" s="15">
        <v>0.0</v>
      </c>
      <c r="C85" s="3" t="s">
        <v>22</v>
      </c>
      <c r="D85" s="6" t="s">
        <v>23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 t="s">
        <v>24</v>
      </c>
      <c r="B86" s="7">
        <f>B81*5%</f>
        <v>2066.115702</v>
      </c>
      <c r="C86" s="3" t="s">
        <v>25</v>
      </c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 t="s">
        <v>26</v>
      </c>
      <c r="B87" s="7">
        <f>B83+B84+B85+B86</f>
        <v>21900.82645</v>
      </c>
      <c r="C87" s="3" t="s">
        <v>27</v>
      </c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 t="s">
        <v>28</v>
      </c>
      <c r="B89" s="15">
        <v>6000.0</v>
      </c>
      <c r="C89" s="3" t="s">
        <v>29</v>
      </c>
      <c r="D89" s="3" t="s">
        <v>3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6" t="s">
        <v>30</v>
      </c>
      <c r="B90" s="16">
        <v>0.22</v>
      </c>
      <c r="C90" s="3" t="s">
        <v>31</v>
      </c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6" t="s">
        <v>32</v>
      </c>
      <c r="B91" s="2">
        <f>B81*B90</f>
        <v>9090.909091</v>
      </c>
      <c r="C91" s="3" t="s">
        <v>33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6"/>
      <c r="B92" s="7"/>
      <c r="C92" s="3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 t="s">
        <v>67</v>
      </c>
      <c r="B93" s="7">
        <f>B77-B87+B90</f>
        <v>38099.39355</v>
      </c>
      <c r="C93" s="3" t="s">
        <v>35</v>
      </c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/>
      <c r="B94" s="18"/>
      <c r="C94" s="3"/>
      <c r="D94" s="3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 t="s">
        <v>36</v>
      </c>
      <c r="B95" s="18">
        <v>1200.0</v>
      </c>
      <c r="C95" s="3" t="s">
        <v>37</v>
      </c>
      <c r="D95" s="3" t="s">
        <v>3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6" t="s">
        <v>38</v>
      </c>
      <c r="B96" s="18">
        <v>2123.0</v>
      </c>
      <c r="C96" s="3" t="s">
        <v>39</v>
      </c>
      <c r="D96" s="3" t="s">
        <v>3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6" t="s">
        <v>40</v>
      </c>
      <c r="B97" s="18">
        <f>B93-B95-B96-B99</f>
        <v>34776.26655</v>
      </c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6"/>
      <c r="B98" s="19"/>
      <c r="C98" s="4"/>
      <c r="D98" s="3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 t="s">
        <v>41</v>
      </c>
      <c r="B99" s="19">
        <v>0.127</v>
      </c>
      <c r="C99" s="3" t="s">
        <v>68</v>
      </c>
      <c r="D99" s="3" t="s">
        <v>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 t="s">
        <v>43</v>
      </c>
      <c r="B100" s="20">
        <f>B99*B77</f>
        <v>7620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8" t="s">
        <v>69</v>
      </c>
      <c r="B102" s="21">
        <f>B97-B100</f>
        <v>27156.26655</v>
      </c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6"/>
      <c r="B103" s="19"/>
      <c r="C103" s="3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6" t="s">
        <v>70</v>
      </c>
      <c r="B104" s="19">
        <v>0.357</v>
      </c>
      <c r="C104" s="3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6" t="s">
        <v>46</v>
      </c>
      <c r="B106" s="18">
        <f>B102*B104</f>
        <v>9694.78716</v>
      </c>
      <c r="C106" s="3" t="s">
        <v>71</v>
      </c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6"/>
      <c r="B107" s="18"/>
      <c r="C107" s="3"/>
      <c r="D107" s="3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6" t="s">
        <v>72</v>
      </c>
      <c r="B108" s="18">
        <v>3115.0</v>
      </c>
      <c r="C108" s="3"/>
      <c r="D108" s="3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 t="s">
        <v>73</v>
      </c>
      <c r="B109" s="18">
        <v>5700.0</v>
      </c>
      <c r="C109" s="3" t="s">
        <v>74</v>
      </c>
      <c r="D109" s="40">
        <f>5700/46000</f>
        <v>0.1239130435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/>
      <c r="B110" s="23"/>
      <c r="C110" s="3" t="s">
        <v>75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1" t="s">
        <v>76</v>
      </c>
      <c r="B111" s="25">
        <f>B106-B108-B109</f>
        <v>879.7871597</v>
      </c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4" t="s">
        <v>51</v>
      </c>
      <c r="B112" s="26">
        <f>B111/B77</f>
        <v>0.01466311933</v>
      </c>
      <c r="C112" s="27"/>
      <c r="D112" s="28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8"/>
      <c r="B113" s="21"/>
      <c r="C113" s="27"/>
      <c r="D113" s="28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8" t="s">
        <v>52</v>
      </c>
      <c r="B114" s="21">
        <f>B77-B111</f>
        <v>59120.21284</v>
      </c>
      <c r="C114" s="27" t="s">
        <v>53</v>
      </c>
      <c r="D114" s="28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6"/>
      <c r="B115" s="18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6" t="s">
        <v>55</v>
      </c>
      <c r="B116" s="2">
        <f>B114/12</f>
        <v>4926.684403</v>
      </c>
      <c r="C116" s="3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6" t="s">
        <v>56</v>
      </c>
      <c r="B117" s="3">
        <f>B55</f>
        <v>1000</v>
      </c>
      <c r="C117" s="3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6" t="s">
        <v>57</v>
      </c>
      <c r="B118" s="2">
        <f>B114/B117</f>
        <v>59.12021284</v>
      </c>
      <c r="C118" s="3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2"/>
      <c r="B119" s="43"/>
      <c r="C119" s="44"/>
      <c r="D119" s="44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2"/>
      <c r="B120" s="43"/>
      <c r="C120" s="44"/>
      <c r="D120" s="44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1" t="s">
        <v>77</v>
      </c>
      <c r="B121" s="46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8" t="s">
        <v>78</v>
      </c>
      <c r="B122" s="21" t="s">
        <v>79</v>
      </c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8"/>
      <c r="B123" s="21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8" t="s">
        <v>80</v>
      </c>
      <c r="B124" s="39" t="s">
        <v>81</v>
      </c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6" t="s">
        <v>82</v>
      </c>
      <c r="B125" s="2" t="s">
        <v>83</v>
      </c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6" t="s">
        <v>84</v>
      </c>
      <c r="B126" s="2" t="s">
        <v>85</v>
      </c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6" t="s">
        <v>86</v>
      </c>
      <c r="B127" s="2" t="s">
        <v>87</v>
      </c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7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47" t="s">
        <v>88</v>
      </c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7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6" t="s">
        <v>89</v>
      </c>
      <c r="B131" s="47">
        <v>40000.0</v>
      </c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6" t="s">
        <v>90</v>
      </c>
      <c r="B132" s="7">
        <f>4.2%*B131</f>
        <v>1680</v>
      </c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 t="s">
        <v>91</v>
      </c>
      <c r="B133" s="7">
        <f>500+15.5%*(B131-12000)</f>
        <v>4840</v>
      </c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 t="s">
        <v>92</v>
      </c>
      <c r="B134" s="7">
        <f>2650+1%*(B131-25000)</f>
        <v>2800</v>
      </c>
      <c r="C134" s="3" t="s">
        <v>93</v>
      </c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 t="s">
        <v>94</v>
      </c>
      <c r="B135" s="17">
        <f>2850-3.3%*(B131-45500)</f>
        <v>3031.5</v>
      </c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/>
      <c r="B137" s="47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/>
      <c r="B138" s="7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6"/>
      <c r="B139" s="7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6"/>
      <c r="B140" s="7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6"/>
      <c r="B141" s="17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7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6"/>
      <c r="B143" s="47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6"/>
      <c r="B144" s="7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6"/>
      <c r="B145" s="7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6"/>
      <c r="B146" s="7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6"/>
      <c r="B147" s="17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7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8" t="s">
        <v>95</v>
      </c>
      <c r="B149" s="49"/>
      <c r="C149" s="50"/>
      <c r="D149" s="50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>
      <c r="A150" s="52"/>
      <c r="B150" s="49"/>
      <c r="C150" s="50"/>
      <c r="D150" s="50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>
      <c r="A151" s="53" t="s">
        <v>96</v>
      </c>
      <c r="B151" s="49"/>
      <c r="C151" s="50"/>
      <c r="D151" s="50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>
      <c r="A152" s="54" t="s">
        <v>97</v>
      </c>
      <c r="B152" s="7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6" t="s">
        <v>98</v>
      </c>
      <c r="B153" s="7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6" t="s">
        <v>99</v>
      </c>
      <c r="B154" s="7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7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5" t="s">
        <v>77</v>
      </c>
      <c r="B156" s="56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5" t="s">
        <v>100</v>
      </c>
      <c r="B157" s="57" t="s">
        <v>79</v>
      </c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5" t="s">
        <v>80</v>
      </c>
      <c r="B158" s="57" t="s">
        <v>81</v>
      </c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5" t="s">
        <v>82</v>
      </c>
      <c r="B159" s="57" t="s">
        <v>83</v>
      </c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5" t="s">
        <v>84</v>
      </c>
      <c r="B160" s="57" t="s">
        <v>85</v>
      </c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5" t="s">
        <v>86</v>
      </c>
      <c r="B161" s="57" t="s">
        <v>101</v>
      </c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5" t="s">
        <v>102</v>
      </c>
      <c r="B162" s="57">
        <v>0.0</v>
      </c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7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7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6" t="s">
        <v>103</v>
      </c>
      <c r="B165" s="7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7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6" t="s">
        <v>104</v>
      </c>
      <c r="B167" s="2" t="s">
        <v>105</v>
      </c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2" t="s">
        <v>106</v>
      </c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7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6">
        <v>46000.0</v>
      </c>
      <c r="B170" s="7">
        <f>2840-(3.25%*(46000-46000))</f>
        <v>2840</v>
      </c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7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7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7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7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7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7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7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7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7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7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7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7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7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7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7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7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7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7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7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7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7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7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7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7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7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7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7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7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7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7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7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7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7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7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7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7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7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7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7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7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7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7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7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7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7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7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7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7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7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7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7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7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7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7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7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7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7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7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7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7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7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7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7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7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7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7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7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7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7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7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7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7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7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7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7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7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7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7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7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7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7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7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7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7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7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7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7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7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7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7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7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7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7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7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7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7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7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7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7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7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7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7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7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7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7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7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7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7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7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7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7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7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7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7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7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7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7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7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7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7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7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7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7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7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7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7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7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7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7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7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7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7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7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7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7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7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7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7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7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7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7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7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7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7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7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7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7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7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7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7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7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7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7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7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7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7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7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7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7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7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7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7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7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7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7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7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7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7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7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7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7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7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7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7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7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7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7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7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7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7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7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7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7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7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7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7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7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7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7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7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7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7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7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7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7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7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7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7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7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7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7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7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7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7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7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7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7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7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7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7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7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7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7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7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7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7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7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7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7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7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7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7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7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7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7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7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7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7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7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7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7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7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7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7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7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7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7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7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7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7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7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7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7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7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7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7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7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7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7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7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7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7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7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7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7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7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7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7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7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7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7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7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7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7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7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7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7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7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7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7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7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7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7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7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7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7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7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7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7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7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7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7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7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7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7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7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7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7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7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7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7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7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7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7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7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7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7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7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7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7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7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7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7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7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7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7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7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7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7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7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7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7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7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7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7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7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7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7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7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7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7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7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7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7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7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7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7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7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7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7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7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7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7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7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7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7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7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7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7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7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7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7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7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7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7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7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7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7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7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7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7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7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7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7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7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7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7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7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7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7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7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7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7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7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7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7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7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7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7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7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7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7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7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7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7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7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7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7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7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7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7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7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7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7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7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7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7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7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7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7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7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7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7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7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7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7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7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7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7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7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7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7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7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7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7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7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7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7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7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7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7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7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7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7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7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7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7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7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7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7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7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7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7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7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7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7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7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7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7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7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7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7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7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7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7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7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7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7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7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7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7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7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7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7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7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7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7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7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7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7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7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7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7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7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7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7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7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7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7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7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7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7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7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7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7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7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7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7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7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7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7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7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7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7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7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7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7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7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7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7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7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7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7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7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7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7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7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7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7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7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7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7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7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7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7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7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7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7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7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7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7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7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7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7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7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7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7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7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7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7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7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7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7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7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7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7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7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7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7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7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7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7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7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7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7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7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7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7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7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7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7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7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7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7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7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7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7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7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7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7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7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7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7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7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7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7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7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7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7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7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7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7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7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7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7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7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7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7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7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7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7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7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7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7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7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7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7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7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7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7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7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7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7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7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7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7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7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7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7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7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7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7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7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7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7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7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7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7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7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7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7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7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7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7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7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7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7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7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7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7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7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7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7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7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7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7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7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7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7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7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7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7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7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7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7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7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7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7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7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7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7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7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7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7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7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7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7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7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7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7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7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7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7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7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7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7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7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7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7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7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7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7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7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7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7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7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7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7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7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7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7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7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7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7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7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7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7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7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7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7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7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7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7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7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7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7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7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7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7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7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7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7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7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7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7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7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7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7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7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7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7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7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7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7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7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7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7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7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7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7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7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7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7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7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7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7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7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7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7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7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7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7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7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7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7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7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7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7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7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7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7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7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7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7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7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7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7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7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7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7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7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7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7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7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7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7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7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7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7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7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7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7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7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7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7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7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7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7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7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7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7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7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7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7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7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7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7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7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7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7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7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7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7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7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7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7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7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7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7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7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7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7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7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7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7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7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7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7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7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7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7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7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7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7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7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7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7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7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7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7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7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7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7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7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7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7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7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7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7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7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7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7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7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7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7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7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7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7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7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7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7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7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7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7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7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7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7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7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7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7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7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7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7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7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7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7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7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7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7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7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7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7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7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7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7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7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7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7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7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7"/>
      <c r="C1000" s="4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7"/>
      <c r="C1001" s="4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7"/>
      <c r="C1002" s="4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drawing r:id="rId1"/>
</worksheet>
</file>