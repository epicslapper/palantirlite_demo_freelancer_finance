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x 2025 2026  made dec 2025" sheetId="1" r:id="rId4"/>
    <sheet state="visible" name="freelancer_tesla_2026" sheetId="2" r:id="rId5"/>
    <sheet state="visible" name="Sheet9" sheetId="3" r:id="rId6"/>
    <sheet state="visible" name="tax 2023 2024 2025 old method" sheetId="4" r:id="rId7"/>
    <sheet state="visible" name="tax 2026 old method" sheetId="5" r:id="rId8"/>
  </sheets>
  <definedNames>
    <definedName name="max_AHK">#REF!</definedName>
    <definedName name="ondergrens_AOW">#REF!</definedName>
    <definedName name="ondergrens_AHK">#REF!</definedName>
    <definedName name="bovengrens_AOW">#REF!</definedName>
    <definedName name="max_AOW_korting">#REF!</definedName>
    <definedName name="verzamelinkomen">#REF!</definedName>
    <definedName name="bovengrens_AHK">#REF!</definedName>
    <definedName name="alleenstaande_korting">#REF!</definedName>
  </definedNames>
  <calcPr/>
</workbook>
</file>

<file path=xl/sharedStrings.xml><?xml version="1.0" encoding="utf-8"?>
<sst xmlns="http://schemas.openxmlformats.org/spreadsheetml/2006/main" count="667" uniqueCount="442">
  <si>
    <t>Jaar</t>
  </si>
  <si>
    <t>NL</t>
  </si>
  <si>
    <t>HU</t>
  </si>
  <si>
    <t xml:space="preserve"> ibkr or jan 1 2025 is dutch tax " peildatum "   for rest of 2025 etc </t>
  </si>
  <si>
    <t>solana tsla etoro</t>
  </si>
  <si>
    <t xml:space="preserve">Total assets  in EURO </t>
  </si>
  <si>
    <t>WIA  bruto per maand exclusief vakantiegeld</t>
  </si>
  <si>
    <t>WIA  bruto per jaar exclusief vakantiegeld</t>
  </si>
  <si>
    <t>vakantiegeld WIA bruto</t>
  </si>
  <si>
    <t>WIA  bruto per jaar totaal inclusief vakantiegeld</t>
  </si>
  <si>
    <t>WIA netto per maand exclusief vakantiegeld</t>
  </si>
  <si>
    <t>WIA  netto per jaar exclusief vakantiegeld</t>
  </si>
  <si>
    <t xml:space="preserve">WIA  netto vakantiegeld ( ongeveer 7-8 procent van netto jaarinkomen) </t>
  </si>
  <si>
    <t>WIA netto per jaar inclusief vakantiegeld</t>
  </si>
  <si>
    <t>NL TAX</t>
  </si>
  <si>
    <t xml:space="preserve">no tax in HU </t>
  </si>
  <si>
    <t>current TSLA</t>
  </si>
  <si>
    <t>this calc for NL</t>
  </si>
  <si>
    <t>TSLA estimated shareprice , * 0.7 for ballpark USD value</t>
  </si>
  <si>
    <t>PEILDATUM 1 JAN NL</t>
  </si>
  <si>
    <t>estimate jan 1 2026</t>
  </si>
  <si>
    <t>USD TSLA portfolio 1 Jan is " peildatum"  for each taxyear !</t>
  </si>
  <si>
    <t>EURO with conversion rate from usd on that date : we lose 15% !</t>
  </si>
  <si>
    <t xml:space="preserve">Portfolio in Euro per 1 januari of the year for dutch tax = " peildatum" </t>
  </si>
  <si>
    <t xml:space="preserve">BELASTING AANGIFTE SCHATTING </t>
  </si>
  <si>
    <t xml:space="preserve">Type uitkering: </t>
  </si>
  <si>
    <t>WIA</t>
  </si>
  <si>
    <t>AOW</t>
  </si>
  <si>
    <t xml:space="preserve">Portfolio value in Euro , per 1 januari of taxable year = peildatum </t>
  </si>
  <si>
    <t xml:space="preserve">Jaaropgave gegevens </t>
  </si>
  <si>
    <t xml:space="preserve">box 3:   aftrek/exemption ( van belastbaar vermogen / portfolio ) </t>
  </si>
  <si>
    <t>box 3:   fictief rendement percentage ( over belastbaar vermogen / portfolio )</t>
  </si>
  <si>
    <t xml:space="preserve">box 3:   vast belasting percentage ( over het fictief rendement in euro ) </t>
  </si>
  <si>
    <t>box 1:   wia / aow  per maand netto</t>
  </si>
  <si>
    <t>box 1:   wia / aow  per maand bruto NOTE 2% per year less in USA = 10% less!</t>
  </si>
  <si>
    <t>box 1:   wia / aow per jaar netto</t>
  </si>
  <si>
    <t>box 1:   wia / aow per jaar bruto</t>
  </si>
  <si>
    <t>box 1:   wia / aow vakantiegeld eenmalig netto</t>
  </si>
  <si>
    <t>box 1:   wia / aow vakantiegeld eenmalig bruto</t>
  </si>
  <si>
    <t>box 1:   wia / aow totaal inkomsten netto</t>
  </si>
  <si>
    <t xml:space="preserve">box 1:   wia / aow totaal inkomsten bruto </t>
  </si>
  <si>
    <t xml:space="preserve">Verzamelinkomen ( == box 1 plus box3 ) , om heffingskortingen te berekenen </t>
  </si>
  <si>
    <t>Berekening heffingskortingen == aftrekposten op inkomsten belasting</t>
  </si>
  <si>
    <t>Heffiingskorting   algemeen tot 29000 euro in 2026 dan afbouw en is typisch de helft van de normale algemene heffingskorting</t>
  </si>
  <si>
    <t>Heffingskorting    voor AOW gerechtigden = ouderenkorting tot 46000, dan afbouw tot 0 bij 60000 verzamelinkomen</t>
  </si>
  <si>
    <t>Heffiingskorting   alleenstaande , geen afbouw</t>
  </si>
  <si>
    <t>Heffingskorting totaal</t>
  </si>
  <si>
    <t>Berekening zvw bijdrage == belasting ....</t>
  </si>
  <si>
    <t>zvw bijdrage percentage over WIA / AOW</t>
  </si>
  <si>
    <t>Valuta</t>
  </si>
  <si>
    <t>Euro</t>
  </si>
  <si>
    <t>Land</t>
  </si>
  <si>
    <t>box 3: portfolio vermogen on first of januari for dutch tax !!!</t>
  </si>
  <si>
    <t>box 3: belastbaar na exemption / aftrek</t>
  </si>
  <si>
    <t xml:space="preserve">box 3: fictief rendement  </t>
  </si>
  <si>
    <t>box 3: belasting te betalen over portfolio vermogen , 36%</t>
  </si>
  <si>
    <t>box 1 WIA / AOW inkomsten netto incl vakantiegeld!</t>
  </si>
  <si>
    <t>box 1 WIA / AOW inkomsten bruto incl vakantiegeld</t>
  </si>
  <si>
    <t xml:space="preserve">box 1 WIA / AOW belasting reeds betaald totaal box 1 , inclusief zvw bijdrage </t>
  </si>
  <si>
    <t>NB :  schatting , check UWV in december !</t>
  </si>
  <si>
    <t>zvw bijdrage over bruto WIA / AOW reeds betaald</t>
  </si>
  <si>
    <t xml:space="preserve">Belasting al betaald intern, door UWV en AOW , exclusief zvw bijdrage </t>
  </si>
  <si>
    <t>Verzamelinkomen: =&gt;  ( box 1  belastbaar inkomen )  +  ( box 3 fictief rendement )</t>
  </si>
  <si>
    <t xml:space="preserve">NOTE , just below the treshold voor ouderenkorting ! </t>
  </si>
  <si>
    <t>Heffiingskorting   totaal</t>
  </si>
  <si>
    <t>Totaal the betalen over dat jaar</t>
  </si>
  <si>
    <t xml:space="preserve">Alternatieve rekenwijze </t>
  </si>
  <si>
    <t>Box 3 belasting te betalen</t>
  </si>
  <si>
    <t xml:space="preserve">Box 1 belasting te betalen ( is al verdisconteerd door UVW en vzw) </t>
  </si>
  <si>
    <t>Totaal belasting te betalen over jaar</t>
  </si>
  <si>
    <t>IF emigration</t>
  </si>
  <si>
    <t xml:space="preserve">NOG eenvoudiger :  ik mag de WIA en AOW negeren, omdat daar de belasting EN de zvw bijdrage al betaald is : ik krijg mijn uitkering / AOW NETTO !!!   </t>
  </si>
  <si>
    <t>DUS : ik hoef alleen maar mijn inkomsten uit box 3 EN mijn heffingskortingen te berekenen</t>
  </si>
  <si>
    <t xml:space="preserve">Box 3 te betalen </t>
  </si>
  <si>
    <t xml:space="preserve">Box 1 te betalen </t>
  </si>
  <si>
    <t>Heffingskortingen totaal</t>
  </si>
  <si>
    <t>Belasting te betalen over jaar</t>
  </si>
  <si>
    <t>(€ 3.068 – 6,337% x (Verzamelinkomen - € 28.406))</t>
  </si>
  <si>
    <t>€ 1.536 –( 3,170% x (Inkomen - € 28.406))</t>
  </si>
  <si>
    <t xml:space="preserve">Voor WIA </t>
  </si>
  <si>
    <t>Voor AOW</t>
  </si>
  <si>
    <t>AHK basis</t>
  </si>
  <si>
    <t>verzamelinkomen</t>
  </si>
  <si>
    <t>ondergrens</t>
  </si>
  <si>
    <t>verzamelinkomen-ondergrens</t>
  </si>
  <si>
    <t>6.34%  maal dit resultaat WIA ,  of 3.17%  maal dit resultaat bij AOW</t>
  </si>
  <si>
    <t xml:space="preserve">ahk basis MINUS dit resultaat </t>
  </si>
  <si>
    <t xml:space="preserve">Taxes in Netherlands </t>
  </si>
  <si>
    <t>Taxes in Hungary</t>
  </si>
  <si>
    <t>Taxes in Mauritius</t>
  </si>
  <si>
    <t xml:space="preserve">Capital Gains Tax in Hungary , only over profit part </t>
  </si>
  <si>
    <t>Margin Borrowing when in hungary , cost about 5% per year over cumul.amt  , IBKR</t>
  </si>
  <si>
    <t xml:space="preserve">Total amount borrowed </t>
  </si>
  <si>
    <t xml:space="preserve">interest cost at 5% </t>
  </si>
  <si>
    <t xml:space="preserve">margin pressure from borrowing : </t>
  </si>
  <si>
    <t>Emigrate to Hungary , only when decide to trade !!!</t>
  </si>
  <si>
    <t>X</t>
  </si>
  <si>
    <t xml:space="preserve">EMIGRATE TO Mauritius , maybe first on yearly visa ???  that way i am in the system , easier to change later </t>
  </si>
  <si>
    <t xml:space="preserve">IF EMIGRATION , the tax calculaton is even more simple :  </t>
  </si>
  <si>
    <t xml:space="preserve">NOG eenvoudiger na emigratie :  ik mag de AOW negeren, omdat daar de belasting EN de zvw bijdrage al betaald is : ik krijg mijn  AOW NETTO !!!   </t>
  </si>
  <si>
    <t>IF emigration during 2026</t>
  </si>
  <si>
    <t xml:space="preserve">ALS emigratie later naar Mauritius :  klein nadeel :  AOW zal gekort worden , waarschijnlijk tot 50% van netto minimumloon in nederland dus ongeveer 1300 euro netto , </t>
  </si>
  <si>
    <t xml:space="preserve">Een goede ballpark voor AOW in Mauriitus is :  15000 euro netto  plus 1000 euro netto vakantiegeld : totaal 16000 euro per jaar netto  , dus ongeveer 18500 USD per jaar netto </t>
  </si>
  <si>
    <t>Living Costs (Year)</t>
  </si>
  <si>
    <t>Rent</t>
  </si>
  <si>
    <t>Utilities</t>
  </si>
  <si>
    <t>Food</t>
  </si>
  <si>
    <t>Other</t>
  </si>
  <si>
    <t>Total living costs</t>
  </si>
  <si>
    <t>IF roommate</t>
  </si>
  <si>
    <t>Roommate</t>
  </si>
  <si>
    <t xml:space="preserve">Then total living costs </t>
  </si>
  <si>
    <t xml:space="preserve">NOTE :  Health insurance is a wash , but in Mauritius probably extra 1000 -2000 Euro , also AOW will be about 50% of Netto minimumloon : about 5000 Euro less than in Netherlands . Also pay extra 10% on AOW remitance probably </t>
  </si>
  <si>
    <t>Futhermore :  living costs will be about 8000 euro more .  All together about 15,000 Euro more to live in Mauritius per year .  But tax will be 10k less !  so depends on costs of living in Mauritius !</t>
  </si>
  <si>
    <t xml:space="preserve">VOOR AOW gerechtigden </t>
  </si>
  <si>
    <t>Verzamelinkomen</t>
  </si>
  <si>
    <t>Algemene heffingskorting *</t>
  </si>
  <si>
    <t>tot € 29.736</t>
  </si>
  <si>
    <t>vanaf € 29.736 tot € 78.426</t>
  </si>
  <si>
    <t>€ 1.556 - 3,195% x (verzamelinkomen - € 29.736)</t>
  </si>
  <si>
    <t>example for 2026</t>
  </si>
  <si>
    <t xml:space="preserve">verzamelinkomen </t>
  </si>
  <si>
    <t>Korting</t>
  </si>
  <si>
    <t xml:space="preserve">Belasting aangifte schatting 2026 AOW </t>
  </si>
  <si>
    <t>Value / Rate</t>
  </si>
  <si>
    <t>Hours on location (hr)</t>
  </si>
  <si>
    <t>Enter manually</t>
  </si>
  <si>
    <t>Rate on location (€ / hr)</t>
  </si>
  <si>
    <t>Hours home office (hr)</t>
  </si>
  <si>
    <t>Rate home office (€ / hr)</t>
  </si>
  <si>
    <t>Revenue on location (€)</t>
  </si>
  <si>
    <t>Revenue home office (€)</t>
  </si>
  <si>
    <t>Total Revenue (€)</t>
  </si>
  <si>
    <t>Winst uit Onderneming</t>
  </si>
  <si>
    <t>Total Revenue</t>
  </si>
  <si>
    <t>Tesla Model Y purchase (€)</t>
  </si>
  <si>
    <t>VAT recovered (€)</t>
  </si>
  <si>
    <t>21% VAT portion reclaimable</t>
  </si>
  <si>
    <t>Tesla base cost (€)</t>
  </si>
  <si>
    <t>Cost excluding recoverable VAT</t>
  </si>
  <si>
    <t>Depreciation (5 yrs linear) (€ / yr)</t>
  </si>
  <si>
    <t>Linear depreciation over 5 years</t>
  </si>
  <si>
    <t>KIA deduction (€)</t>
  </si>
  <si>
    <t>One-time business investment deduction , 28%</t>
  </si>
  <si>
    <t>Operational Costs (Tesla) (€) ballpark</t>
  </si>
  <si>
    <t xml:space="preserve">charging 10ct/km , insurance 1200, road tax 600 </t>
  </si>
  <si>
    <t>12000 km, at 10cts/km</t>
  </si>
  <si>
    <t>Interest Payment on IBKR loan on car base cost</t>
  </si>
  <si>
    <t>5% on margin loan from IBKR</t>
  </si>
  <si>
    <t>Total car Expenses (€)</t>
  </si>
  <si>
    <t>Depreciation + KIA + operational costs</t>
  </si>
  <si>
    <t>Private use km</t>
  </si>
  <si>
    <t xml:space="preserve">maybe no private km if using e-bike also </t>
  </si>
  <si>
    <t xml:space="preserve">Bijtelling % </t>
  </si>
  <si>
    <t>vast percentage vanaf 2026</t>
  </si>
  <si>
    <t>Bijtelling (€)</t>
  </si>
  <si>
    <t>Taxable value of private use</t>
  </si>
  <si>
    <t>Profit before deductions , to calculate arbeidskorting</t>
  </si>
  <si>
    <t>Revenue – Expenses + Bijtelling</t>
  </si>
  <si>
    <t>Zelfstandigenaftrek (€)</t>
  </si>
  <si>
    <t>Fixed deduction</t>
  </si>
  <si>
    <t>Startersaftrek (€)</t>
  </si>
  <si>
    <t>Extra for first 5 years</t>
  </si>
  <si>
    <t>Profit after deductions (€)</t>
  </si>
  <si>
    <t>MKB winstvrijstelling percentage</t>
  </si>
  <si>
    <t>winstvrijstelling op winst uit je onderneming</t>
  </si>
  <si>
    <t>MKB winstvrijstelling</t>
  </si>
  <si>
    <t>Taxable Profit after all deductions (€)</t>
  </si>
  <si>
    <t>Income Tax Rate (%) AOW</t>
  </si>
  <si>
    <t>Estimated Income Tax before arbeidskorting (€)</t>
  </si>
  <si>
    <t>Algemene Heffingskorting ( already used for Box 3 ! )</t>
  </si>
  <si>
    <t>Arbeidskorting (€) tops at 46000 taxable profit</t>
  </si>
  <si>
    <t>NOTE: voor aow de helft van normale arbeidskorting !!!</t>
  </si>
  <si>
    <t>Estimated Income Tax after arbeidskorting (€)</t>
  </si>
  <si>
    <t>Final tax pressure</t>
  </si>
  <si>
    <t>Net Cash (€) , before operational costs and interest</t>
  </si>
  <si>
    <t>Revenue – Expenses – Estimated Income Tax after arbeidskorting</t>
  </si>
  <si>
    <t>Net cash after all expenses</t>
  </si>
  <si>
    <t xml:space="preserve">Montly net income </t>
  </si>
  <si>
    <t>Total billed hours</t>
  </si>
  <si>
    <t xml:space="preserve">Average net per hour </t>
  </si>
  <si>
    <t>Belasting aangifte schatting 2026 tot pensioenleeftijd</t>
  </si>
  <si>
    <t>Formula / Notes</t>
  </si>
  <si>
    <t>Minimum aantal uren per jaar / ook gedeeltelijk</t>
  </si>
  <si>
    <t>boekhouden, adminisstratie , aquisitieijd !!!  etc mag ook meegeteld worden , reistijd ???</t>
  </si>
  <si>
    <t>Thuiswerken , fictief meeste uren tellen hiervoor !</t>
  </si>
  <si>
    <t>B2 = hours B3 = rate</t>
  </si>
  <si>
    <t>B5 = hours B6 = rate</t>
  </si>
  <si>
    <t>sum of location + home office</t>
  </si>
  <si>
    <t xml:space="preserve">Total Revenue (€) =B8 or enter manually </t>
  </si>
  <si>
    <t>Profit before deductions (€)  (voor arbeidskorting)</t>
  </si>
  <si>
    <t>winstvrijstelling op winst uit onderneming</t>
  </si>
  <si>
    <t>Taxable Profit after deductions</t>
  </si>
  <si>
    <t xml:space="preserve">Income Tax Rate (%) </t>
  </si>
  <si>
    <t>From previous row</t>
  </si>
  <si>
    <t>Algemene Heffingskorting</t>
  </si>
  <si>
    <t>Arbeidskorting (€) tops at 46000 winst uit onderneming</t>
  </si>
  <si>
    <t>top is ongeveer 12%  bij 46000 winst uit onderneming</t>
  </si>
  <si>
    <t>maar ongeveer de helft bij aow !!!</t>
  </si>
  <si>
    <t xml:space="preserve">Estimated Income Tax </t>
  </si>
  <si>
    <t>U hebt in 2026 het hele jaar de AOW-leeftijd</t>
  </si>
  <si>
    <t>Tabel arbeidskorting: in 2026 het hele jaar de AOW-leeftijd Arbeidsinkomen</t>
  </si>
  <si>
    <t>Arbeidskorting *</t>
  </si>
  <si>
    <t>tot € 11.965</t>
  </si>
  <si>
    <t>4,156% x arbeidsinkomen</t>
  </si>
  <si>
    <t>vanaf € 11.965 tot € 25.845</t>
  </si>
  <si>
    <t>€ 498 + 15,483% x (arbeidsinkomen - € 11.965)</t>
  </si>
  <si>
    <t>vanaf € 25.845 tot € 45.592</t>
  </si>
  <si>
    <t>€ 2.647 + 0,974% x (arbeidsinkomen - € 25.845)</t>
  </si>
  <si>
    <t>vanaf € 45.592 tot € 132.920</t>
  </si>
  <si>
    <t xml:space="preserve">€ 2.840 - 3,250% x (arbeidsinkomen - € 45.592)  </t>
  </si>
  <si>
    <t>ARBEIDSKORTING</t>
  </si>
  <si>
    <t xml:space="preserve">arbeidsinkomen </t>
  </si>
  <si>
    <t>until 12000</t>
  </si>
  <si>
    <t>from 12000 to 25000</t>
  </si>
  <si>
    <t>from 25000 to 45500</t>
  </si>
  <si>
    <t xml:space="preserve">This is the max for AOW tax free Winst uit onderneming </t>
  </si>
  <si>
    <t>from 45500 to 133000</t>
  </si>
  <si>
    <t>Arbeidskorting zzp afhankelijk van belastbare winst</t>
  </si>
  <si>
    <t xml:space="preserve">Zoals vaker het geval is in het Nederlands belastingstelsel, is de hoogte van de arbeidskorting afhankelijk van de hoogte van het arbeidsinkomen. </t>
  </si>
  <si>
    <t xml:space="preserve">In geval van zelfstandig ondernemers wordt de arbeidskorting berekend op basis van de winst vóór ondernemersaftrek en mkb-winstvrijstelling. </t>
  </si>
  <si>
    <t xml:space="preserve">Of simpel gezegd: het bedrag van de omzet minus de kosten. Arbeidsinkomen kan </t>
  </si>
  <si>
    <t>o.a. ook bestaan uit overige inkomsten uit werk, loon, uitkeringen, fooien en aandelenoptierechten.</t>
  </si>
  <si>
    <t>Arbeidsinkomen</t>
  </si>
  <si>
    <t>€ 2.840 - 3,250% x (arbeidsinkomen - € 45.592)</t>
  </si>
  <si>
    <t>vanaf € 132.920</t>
  </si>
  <si>
    <t xml:space="preserve">voorbeeld </t>
  </si>
  <si>
    <t xml:space="preserve">arbeidsinkomen = winst uit onderneming -kosten </t>
  </si>
  <si>
    <t>60000-business expenses</t>
  </si>
  <si>
    <t xml:space="preserve">indien auto :  ongeveer 5000 per year iin interest ibkr and insurance , road tax , charging </t>
  </si>
  <si>
    <t>START OF REVENUES TABLE</t>
  </si>
  <si>
    <t xml:space="preserve">Columnname or field name </t>
  </si>
  <si>
    <t>row 1</t>
  </si>
  <si>
    <t>row 2</t>
  </si>
  <si>
    <t>row 3</t>
  </si>
  <si>
    <t>Year</t>
  </si>
  <si>
    <t>Belasting aangifte</t>
  </si>
  <si>
    <t>END OF REVENUES :  table :  revenues</t>
  </si>
  <si>
    <t>Start of table expenses</t>
  </si>
  <si>
    <t>KIA deduction (€) = year 1 expense</t>
  </si>
  <si>
    <t>Charging expenses</t>
  </si>
  <si>
    <t>Car insurance expenses</t>
  </si>
  <si>
    <t>Road tax expenses</t>
  </si>
  <si>
    <t>total car expenses</t>
  </si>
  <si>
    <t>office expenses</t>
  </si>
  <si>
    <t>laptop expenses</t>
  </si>
  <si>
    <t>telephone expenses</t>
  </si>
  <si>
    <t>total expenses</t>
  </si>
  <si>
    <t>end of table expenses</t>
  </si>
  <si>
    <t xml:space="preserve">Table for tax purposes and calculate net cash after tax and expenses </t>
  </si>
  <si>
    <t>End of table tax purposes</t>
  </si>
  <si>
    <t>start of table tax calculations and cash calcualtions</t>
  </si>
  <si>
    <t>end of table tax calculations and cash calcualtions</t>
  </si>
  <si>
    <t>Tax year</t>
  </si>
  <si>
    <t>Inkomstenbelasting box 1 ( verzamelinkomen) bruto -gross</t>
  </si>
  <si>
    <t>Belastbaar inkomen uit werk en woning</t>
  </si>
  <si>
    <t>Inkomstenbelasting box 1</t>
  </si>
  <si>
    <t>1e schijf 9.28% van €17497</t>
  </si>
  <si>
    <t>Premie volksverzekeringen</t>
  </si>
  <si>
    <t>27.65% van €17497</t>
  </si>
  <si>
    <t xml:space="preserve">Total belastingen </t>
  </si>
  <si>
    <t>about 37%  ballpark over verzamelinkomen</t>
  </si>
  <si>
    <t>Heffingskortingen af</t>
  </si>
  <si>
    <t>about 3070 euro in 2023</t>
  </si>
  <si>
    <t>Tax payable in 2023</t>
  </si>
  <si>
    <t>BUT LOONHEFFING AF !!!  you see this grok ???</t>
  </si>
  <si>
    <t xml:space="preserve">Final tax payable over tax year 2023 </t>
  </si>
  <si>
    <t>Backtracking my net and gross wia in 2023</t>
  </si>
  <si>
    <t xml:space="preserve">WIA per year gross ( including vacation ) </t>
  </si>
  <si>
    <t>WIA per month net average 2023</t>
  </si>
  <si>
    <t xml:space="preserve">WIA per year net </t>
  </si>
  <si>
    <t>WIA per year net     ( including vacation 760 euro )</t>
  </si>
  <si>
    <t xml:space="preserve">Loonheffing </t>
  </si>
  <si>
    <t>NOW it matches !</t>
  </si>
  <si>
    <t>Loonheffing %</t>
  </si>
  <si>
    <t>BOTTOM LINE : we can subtract about 20% from our WIA in 2023 , 2024 , 2025  as extra discount on TAXES, because this 20% was already withheld !!</t>
  </si>
  <si>
    <t>1e schijf 9.32% van €29363</t>
  </si>
  <si>
    <t>27.65% van €29363</t>
  </si>
  <si>
    <t>about 3061 euro in 2024</t>
  </si>
  <si>
    <t>Tax payable in 2024</t>
  </si>
  <si>
    <t>Final tax payable over tax year 2024</t>
  </si>
  <si>
    <t>Backtracking my net and gross wia in 2024</t>
  </si>
  <si>
    <t>WIA per year gross ( including vacation ) ESTIMATED</t>
  </si>
  <si>
    <t>WIA per month net average 2024</t>
  </si>
  <si>
    <t>WIA per year net     ( including vacation 848 euro )</t>
  </si>
  <si>
    <t>does not match the loonheffing af , missing about 3800 euro</t>
  </si>
  <si>
    <t>Loonheffing % of WIA !!! extra " discount"  because was already withheld</t>
  </si>
  <si>
    <t>So now we backtrack again , and round the numbers:</t>
  </si>
  <si>
    <t>assume tax payable 37%</t>
  </si>
  <si>
    <t>ballpark 3900 euro is 37%  of what ???</t>
  </si>
  <si>
    <t>This means the WIA is ballpark 29400-10500 euro GROSS-bruto</t>
  </si>
  <si>
    <t xml:space="preserve">Fictief inkomen ballpark 8670 euro ( from 147,500 vermogen) </t>
  </si>
  <si>
    <t>Ballpark wia accordingly bruto gross</t>
  </si>
  <si>
    <t>1e schijf 9% van €28370</t>
  </si>
  <si>
    <t>27% van €28370</t>
  </si>
  <si>
    <t>about 36%  ballpark over verzamelinkomen</t>
  </si>
  <si>
    <t>about 3073 euro in 2025</t>
  </si>
  <si>
    <t>Tax payable in 2025</t>
  </si>
  <si>
    <t xml:space="preserve">BUT LOONHEFFING AF , about 20% from the WIA , because is withheld already by UWV </t>
  </si>
  <si>
    <t>Final tax payable over tax year 2025</t>
  </si>
  <si>
    <t>Backtracking my net and gross wia in 2025</t>
  </si>
  <si>
    <t>WIA per month net average 2025</t>
  </si>
  <si>
    <t>WIA per year net     ( including vacation 928 euro )</t>
  </si>
  <si>
    <t>assume tax payable 36%</t>
  </si>
  <si>
    <t>ballpark 3800 euro is 36%  of what ???</t>
  </si>
  <si>
    <t>This means the WIA is ballpark 28370-10300 euro GROSS-bruto</t>
  </si>
  <si>
    <t>about 3720 euro in 2026</t>
  </si>
  <si>
    <t>Tax payable in 2026</t>
  </si>
  <si>
    <t>BUT LOONHEFFING AF , about 20% from the WIA ,  IF , ONLY IF is withheld already by UWV / SVB  like with WIA !!!</t>
  </si>
  <si>
    <t>Final tax payable over tax year 2026</t>
  </si>
  <si>
    <t xml:space="preserve">BOTTOM LINE : we can subtract about 20% from our AOW  in 2026 IF &lt; IF  this 20% was already withheld by SBV </t>
  </si>
  <si>
    <t>In 2026 gaat de AOW in op de dag dat je 67 jaar oud wordt</t>
  </si>
  <si>
    <t>dus op 26 febr 2026</t>
  </si>
  <si>
    <t>NB er gaat bij my ongeveer 5 jaar *2 percent af : 10 percent van bruto ?</t>
  </si>
  <si>
    <t>TAX CALCULATION FOR 2026</t>
  </si>
  <si>
    <t>AOW voor alleenstaanden 2026 ZONDER heffingskorting</t>
  </si>
  <si>
    <t>Situatie prognoses minumloon</t>
  </si>
  <si>
    <t>Bruto</t>
  </si>
  <si>
    <t>Minimumloon 38 uur (BRUTO)</t>
  </si>
  <si>
    <t>AOW Alleenstaand (BRUTO)</t>
  </si>
  <si>
    <t>AOW BRUTO PER jaar 2026</t>
  </si>
  <si>
    <t>AOW BRUTO PER jaar 2026 inclusief vakantiegeld bruto</t>
  </si>
  <si>
    <t>Vakantiegeld bruto 106 euro per maand 2026</t>
  </si>
  <si>
    <t>https://www.aow.nu/aow-bedragen-2026/</t>
  </si>
  <si>
    <t>Voor belastingplichtigen ouder dan de AOW-leeftijd vinden de volgende wijzigingen per 1 januari 2026 plaats:</t>
  </si>
  <si>
    <t>het maximum van de algemene heffingskorting wordt:</t>
  </si>
  <si>
    <t>de ouderenkorting wordt:</t>
  </si>
  <si>
    <t>De alleenstaande ouderenkorting wordt:</t>
  </si>
  <si>
    <t xml:space="preserve">Totaal kortingen </t>
  </si>
  <si>
    <t>Vanaf een verzamelinkomen van € 29.736 (2025: € 28.406) wordt de korting afgebouwd naar nihil.</t>
  </si>
  <si>
    <t>Berekening 2026 uitkering AOW en belastingen</t>
  </si>
  <si>
    <t xml:space="preserve">Euro to USD rate per 1 januari estimate </t>
  </si>
  <si>
    <r>
      <rPr>
        <rFont val="Arial"/>
        <color theme="5"/>
        <sz val="12.0"/>
      </rPr>
      <t>box 1 tax 2026</t>
    </r>
    <r>
      <rPr>
        <rFont val="Arial"/>
        <color theme="1"/>
        <sz val="12.0"/>
      </rPr>
      <t xml:space="preserve"> tot inkomen van 39,000 daarna 2 procent erbij</t>
    </r>
  </si>
  <si>
    <t>inkomsten uit werk , of AOW</t>
  </si>
  <si>
    <r>
      <rPr>
        <rFont val="Arial"/>
        <color theme="5"/>
        <sz val="12.0"/>
      </rPr>
      <t>box 3 tax 2026</t>
    </r>
    <r>
      <rPr>
        <rFont val="Arial"/>
        <color theme="1"/>
        <sz val="12.0"/>
      </rPr>
      <t xml:space="preserve"> etc </t>
    </r>
  </si>
  <si>
    <t>inkomsten uit (fictief) rendement op vermogen/aandelen</t>
  </si>
  <si>
    <t>fictief vermogen percentage 2026</t>
  </si>
  <si>
    <t>BOX 3</t>
  </si>
  <si>
    <t xml:space="preserve">zvw percentage </t>
  </si>
  <si>
    <t xml:space="preserve">wordt berekend uit box 1, AOW ( bruto neem ik aan ) </t>
  </si>
  <si>
    <t>AOW bruto per maand (exclusief vakantiegeld)</t>
  </si>
  <si>
    <t>BOX 1</t>
  </si>
  <si>
    <t>AOW bruto per maand - 10% living outside Netherlands</t>
  </si>
  <si>
    <t>AOW bruto per jaar      (exclusief vakantiegeld)</t>
  </si>
  <si>
    <t>AOW bruto per jaar INCLUSIEF vakantiegeld</t>
  </si>
  <si>
    <t>AOW netto per maand (exclusief vakantiegeld)</t>
  </si>
  <si>
    <t>AOW netto per jaar      (exclusief vakantiegeld)</t>
  </si>
  <si>
    <t>AOW netto per jaar      (Inclusief vakantiegeld)</t>
  </si>
  <si>
    <t>vakantiegeld aow netto</t>
  </si>
  <si>
    <t>Afgerond op 1000 euro / jaar</t>
  </si>
  <si>
    <t>vakantiegeld aow bruto</t>
  </si>
  <si>
    <t>Afgerond op 1200 euro / jaar</t>
  </si>
  <si>
    <t>Verzamelinkomen bruto</t>
  </si>
  <si>
    <t>Totaal inkomen van BOX 3 (aandelen) en BOX 1 (AOW)</t>
  </si>
  <si>
    <t>Algemene Heffingskorting basis</t>
  </si>
  <si>
    <t>Verschil verzamelinkomen en 29740</t>
  </si>
  <si>
    <t>If &lt; 0 , then set to 0</t>
  </si>
  <si>
    <t xml:space="preserve">Final algemene heffingskorting: </t>
  </si>
  <si>
    <t>verlies op algemene heffingskorting AFGEROND;</t>
  </si>
  <si>
    <t xml:space="preserve">Volgende 2 parameters: </t>
  </si>
  <si>
    <t>TSLA current  stockprice</t>
  </si>
  <si>
    <t>Conversion TSLA to USD for ballpark estimate!!</t>
  </si>
  <si>
    <t>TSLA stockprice per 31 december 2025 ESTIMATE</t>
  </si>
  <si>
    <t>between 400 and 500 USD/share</t>
  </si>
  <si>
    <r>
      <rPr>
        <rFont val="Arial"/>
        <color theme="1"/>
        <sz val="12.0"/>
      </rPr>
      <t xml:space="preserve">Portfolio in USD per 31 December 2025 </t>
    </r>
    <r>
      <rPr>
        <rFont val="Arial"/>
        <color rgb="FFFF00FF"/>
        <sz val="12.0"/>
      </rPr>
      <t xml:space="preserve">ESTIMATE </t>
    </r>
  </si>
  <si>
    <t>Portfolio in Euro per 31 December 2025 , use this for dutch tax over 2026!</t>
  </si>
  <si>
    <t>Vermogen in Euro for tax calculation 202x</t>
  </si>
  <si>
    <t>TSLA portfolio (1 Jan 2026/ 31 dec 2025)</t>
  </si>
  <si>
    <t>Box 3 Exemption</t>
  </si>
  <si>
    <t>Wealth tax exemption 2026</t>
  </si>
  <si>
    <t>Taxable Wealth</t>
  </si>
  <si>
    <t>Vermogen - exemption</t>
  </si>
  <si>
    <t>Fictitious Yield</t>
  </si>
  <si>
    <t>6% (Box 3; investments)</t>
  </si>
  <si>
    <t>Box 3 Tax 36% fixed</t>
  </si>
  <si>
    <t xml:space="preserve">AOW Gross (Year) to calculate zvw </t>
  </si>
  <si>
    <t>AOW + holiday pay (full year)</t>
  </si>
  <si>
    <t>Zvw Contribution</t>
  </si>
  <si>
    <t>5.26% on AOW</t>
  </si>
  <si>
    <t>Box 3(aandelen): 36% + Box 1 (AOW):17%</t>
  </si>
  <si>
    <t xml:space="preserve">Total Tax on verzamelinkomen ( Box 1, Box 3, ZVW) </t>
  </si>
  <si>
    <t>NOTE:  Box 1 tax is invisible , is withheld behind the scenes</t>
  </si>
  <si>
    <t>Algemene heffingskorting</t>
  </si>
  <si>
    <t>Ouderkorting</t>
  </si>
  <si>
    <t>Elderly: 2067 (no phase-out, if &lt; 58210 euro ).</t>
  </si>
  <si>
    <t>Alleenstaande korting</t>
  </si>
  <si>
    <t>Net Tax over 2026 , unless i emigrate to Hungary in 2026 !</t>
  </si>
  <si>
    <t>Box 3 + Zvw - heffingskorting</t>
  </si>
  <si>
    <t>BUT if we use the general tax rate of 17% on my verzamelinkomen:</t>
  </si>
  <si>
    <t xml:space="preserve">minus heffingskortingen , so now the tax payable is: </t>
  </si>
  <si>
    <t>BUT maybe i get extra discount because of tax already paid on my bruto aow ???</t>
  </si>
  <si>
    <t>effective tax rate on my portfolio</t>
  </si>
  <si>
    <t>hungary emigratian</t>
  </si>
  <si>
    <t>AOW Net (year) incl vakantietoeslag</t>
  </si>
  <si>
    <t>After Zvw; no income tax</t>
  </si>
  <si>
    <t>Other / travel / music instruments</t>
  </si>
  <si>
    <t>Seems about right , i spend about 1000 euro / month total in budapest</t>
  </si>
  <si>
    <t>Potential savings</t>
  </si>
  <si>
    <t xml:space="preserve">Potential savings with roommate 4000 euro per year </t>
  </si>
  <si>
    <t xml:space="preserve">If emigration to Hungary , no tax on tsla , UNLESS I SELL SHARES , then i must pay 15% over the amount i take out per year :  example if take out 10000 euro , than pay 1500 tax in hungary , capital gains tax . </t>
  </si>
  <si>
    <t xml:space="preserve"> but if i emigrate to Hungary , i can take out 5% via ibkr borrowing :  NO tax , only interest on that amount :  about 5% per year , but first year only 2.5%. if gradual take out !  then second year 5 % etc etc , \</t>
  </si>
  <si>
    <t xml:space="preserve">So i can do that until my 5% " expires|. , and THEN move to Mauritius .  ASK chatgpt and grok and gemini , how it works if i emigrate to hungary first , and then to mauritius , say in 2027 . </t>
  </si>
  <si>
    <t xml:space="preserve">total net result at year end </t>
  </si>
  <si>
    <t>TSLA Impact if borrowing the tax amount from ibkr against 5% per year</t>
  </si>
  <si>
    <t>Do no sell shares  :  borrow from IBKR</t>
  </si>
  <si>
    <t>borrowed amount in % from assets/portfolio</t>
  </si>
  <si>
    <t>NOTE THAT PERCENTAGE GOES UP IF TSLA DROPS !!!</t>
  </si>
  <si>
    <t xml:space="preserve">net result over 1 year </t>
  </si>
  <si>
    <t>Conclusion : emigration to Hungary in 2026 , saves about 2500 euro tax in 2026 , and about 10000 euro tax in 2027 etc etc in later years , BUT i cannot trade , AND capital gains are taxed at 15% !!!!</t>
  </si>
  <si>
    <t>Conclusion :  in 2026 still advantageous to pay tax in Netherlands</t>
  </si>
  <si>
    <t>Algemene heffingskortingen</t>
  </si>
  <si>
    <t>Maximum algemene heffingskorting (onder AOW-leeftijd)</t>
  </si>
  <si>
    <t>Maximum algemene heffingskorting (boven AOW-leeftijd)</t>
  </si>
  <si>
    <t>Afbouwpunt algemene heffingskorting</t>
  </si>
  <si>
    <t>Afbouwpercentage algemene heffingskorting (onder AOW-leeftijd)</t>
  </si>
  <si>
    <t>Afbouwpercentage algemene heffingskorting (boven AOW-leeftijd)</t>
  </si>
  <si>
    <t>Maximum arbeidskorting</t>
  </si>
  <si>
    <t>Afbouwpunt</t>
  </si>
  <si>
    <t>Afbouwpercentage arbeidskorting</t>
  </si>
  <si>
    <t>6,51%</t>
  </si>
  <si>
    <t>https://www.deloitte.com/nl/nl/services/tax/blogs/pakket-belastingplan-2026-tarieven-heffingskortingen.html</t>
  </si>
  <si>
    <t>Als u alleen woont in een gehuurde kamer, wordt u over het algemeen gezien als alleenstaand voor de AOW, mits u geen gezamenlijke huishouding voert met anderen in de woning.  De hoogte van uw AOW-uitkering is afhankelijk van uw woonsituatie: alleenstaanden ontvangen 70% van het netto minimumloon, terwijl samenwonenden per persoon 50% ontvangen.  Als u alleen woont in een gehuurde kamer en geen financiële of huishoudelijke verwevenheid hebt met de andere bewoners, blijft u in de categorie alleenstaand.</t>
  </si>
  <si>
    <t>Een belangrijke uitzondering geldt als u een commerciële relatie heeft met degene met wie u in één woning woont, zoals bij kamerverhuur, kostgangerschap of een huurcontract met vaste betalingen.</t>
  </si>
  <si>
    <t>In dat geval behoudt u het recht op de hogere AOW-uitkering voor alleenstaanden, mits u bewijs kunt leveren van de commerciële relatie, zoals een contract, bankafschriften en belastingaangifte.  Als u geen commerciële relatie heeft, geldt de regel dat u als samenwonend wordt beschouwd, zelfs als u alleen in een gehuurde kamer woont.</t>
  </si>
  <si>
    <t>Dus :  vanaf maart 2026 alleenstaand in budapest  . !!!!</t>
  </si>
  <si>
    <t>ij een latrelatie (bijvoorbeeld een partner met wie u geen gezamenlijke huishouding voert, maar die u geregeld bezoekt) kunt u nog steeds alleenstaand worden beschouwd, mits u op een apart adres bent ingeschreven, uw eigen kosten draagt en geen gezamenlijke huishouding voert.  De Sociale Verzekeringsbank (SVB) beoordeelt of u samenwoont op basis van factoren zoals financiële verwevenheid, gezamenlijke huishoudelijke taken en het gebruik van de woning.  Als u alleen in een gehuurde kamer woont en deze criteria niet voldoet, blijft u alleenstaand en ontvangt u de hogere AOW-uitkering.</t>
  </si>
  <si>
    <t>Als u gaat samenwonen of trouwen, dan gaat de overheid ervan uit dat u gezamenlijk minder kosten heeft aan het levensonderhoud. Als u gaat samenwonen, krijgt u allebei een AOW-pensioen van 50% procent van het netto minimumloon. Iemand die alleenstaand is, krijgt een AOW-pensioen van 70% van het netto minimumloon. Wanneer u samenwoont met uw eigen zoon en/of dochter heeft dat geen gevolgen voor de hoogte van uw AOW.</t>
  </si>
  <si>
    <t>Lees hieronder meer over de voorwaarden.</t>
  </si>
  <si>
    <r>
      <t xml:space="preserve">Geef uw nieuwe woonsituatie op tijd aan bij de SVB, dan voorkomt u dat u naderhand moet terugbetalen. Voor de meest recente bedragen verwijzen wij graag naar de website van </t>
    </r>
    <r>
      <rPr>
        <b/>
        <color rgb="FF1155CC"/>
        <u/>
      </rPr>
      <t>de Sociale Verzekeringsbank</t>
    </r>
    <r>
      <rPr>
        <b/>
      </rPr>
      <t>.</t>
    </r>
  </si>
  <si>
    <r>
      <t xml:space="preserve">Heeft u een </t>
    </r>
    <r>
      <rPr>
        <b/>
        <color rgb="FF1155CC"/>
        <u/>
      </rPr>
      <t>commerciële relatie</t>
    </r>
    <r>
      <rPr>
        <b/>
      </rPr>
      <t xml:space="preserve"> met degene met wie u in één huis woont, dan behoudt u het AOW-pensioen van een alleenstaande.</t>
    </r>
  </si>
  <si>
    <t>Als u samen met iemand anders in één huis woont, heeft u alleen een commerciële relatie met elkaar als:</t>
  </si>
  <si>
    <t>U verhuurt of huurt een kamer, of u heeft of u bent een kostganger;</t>
  </si>
  <si>
    <t>U en de ander(en) in de woning hebben een strikt zakelijke relatie;</t>
  </si>
  <si>
    <t>U en de (ander)en hebben daarover afspraken op papier vastgelegd;</t>
  </si>
  <si>
    <t>U kunt bewijsstukken tonen, zoals een contract, bankafschriften en eventueel uw belastingaangifte.</t>
  </si>
  <si>
    <t>dus alleenstaand , want ik huur in oss</t>
  </si>
  <si>
    <t>In de volgende situaties kunt u voor de AOW nooit een commerciële relatie hebben:</t>
  </si>
  <si>
    <t>U bent eerder getrouwd of samenwonend geweest met de ander;</t>
  </si>
  <si>
    <t>U heeft samen een kind, of het kind van de een is erkend door de ander;</t>
  </si>
  <si>
    <t>U heeft een door de notaris opgesteld samenlevingscontract met de ander;</t>
  </si>
  <si>
    <t>Uw huishouding is door een andere wet of regeling al aangemerkt als een gezamenlijke huishouding</t>
  </si>
  <si>
    <t>Als u allebei een zelfstandige woonruimte heeft (huur of koop), heeft uw relatie geen gevolgen voor de hoogte van uw AOW-pensioen. U blijft dan het hogere bedrag voor een alleenstaande ontvangen.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</si>
</sst>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$]#,##0.00"/>
    <numFmt numFmtId="165" formatCode="[$$]#,##0"/>
    <numFmt numFmtId="166" formatCode="[$€]#,##0"/>
    <numFmt numFmtId="167" formatCode="&quot;€&quot;#,##0.00"/>
    <numFmt numFmtId="168" formatCode="0.000%"/>
    <numFmt numFmtId="169" formatCode="0.0%"/>
    <numFmt numFmtId="170" formatCode="[$€]#,##0.00"/>
    <numFmt numFmtId="171" formatCode="0.000"/>
  </numFmts>
  <fonts count="52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2.0"/>
      <color rgb="FFFF00FF"/>
      <name val="Arial"/>
      <scheme val="minor"/>
    </font>
    <font>
      <sz val="14.0"/>
      <color theme="1"/>
      <name val="Arial"/>
      <scheme val="minor"/>
    </font>
    <font>
      <sz val="14.0"/>
      <color rgb="FFFF00FF"/>
      <name val="Arial"/>
      <scheme val="minor"/>
    </font>
    <font>
      <sz val="12.0"/>
      <color rgb="FF34A853"/>
      <name val="Arial"/>
      <scheme val="minor"/>
    </font>
    <font>
      <sz val="12.0"/>
      <color rgb="FFFF6D01"/>
      <name val="Arial"/>
      <scheme val="minor"/>
    </font>
    <font>
      <sz val="17.0"/>
      <color theme="1"/>
      <name val="Arial"/>
      <scheme val="minor"/>
    </font>
    <font>
      <sz val="17.0"/>
      <color rgb="FF34A853"/>
      <name val="Arial"/>
      <scheme val="minor"/>
    </font>
    <font>
      <sz val="17.0"/>
      <color rgb="FFFF6D01"/>
      <name val="Arial"/>
      <scheme val="minor"/>
    </font>
    <font>
      <b/>
      <sz val="12.0"/>
      <color theme="1"/>
      <name val="Arial"/>
      <scheme val="minor"/>
    </font>
    <font>
      <sz val="12.0"/>
      <color theme="5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FF6D01"/>
      <name val="Arial"/>
      <scheme val="minor"/>
    </font>
    <font>
      <sz val="13.0"/>
      <color theme="1"/>
      <name val="Arial"/>
      <scheme val="minor"/>
    </font>
    <font>
      <sz val="13.0"/>
      <color rgb="FFFF00FF"/>
      <name val="Arial"/>
      <scheme val="minor"/>
    </font>
    <font>
      <sz val="13.0"/>
      <color rgb="FF34A853"/>
      <name val="Arial"/>
      <scheme val="minor"/>
    </font>
    <font>
      <sz val="15.0"/>
      <color rgb="FF34A853"/>
      <name val="Arial"/>
      <scheme val="minor"/>
    </font>
    <font>
      <sz val="15.0"/>
      <color theme="1"/>
      <name val="Arial"/>
      <scheme val="minor"/>
    </font>
    <font>
      <sz val="13.0"/>
      <color theme="5"/>
      <name val="Arial"/>
      <scheme val="minor"/>
    </font>
    <font>
      <sz val="13.0"/>
      <color theme="8"/>
      <name val="Arial"/>
      <scheme val="minor"/>
    </font>
    <font>
      <sz val="13.0"/>
      <color rgb="FFFF6D01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color theme="5"/>
      <name val="Arial"/>
      <scheme val="minor"/>
    </font>
    <font>
      <color rgb="FFEA4335"/>
      <name val="Arial"/>
      <scheme val="minor"/>
    </font>
    <font>
      <color rgb="FFFF00FF"/>
      <name val="Arial"/>
      <scheme val="minor"/>
    </font>
    <font>
      <b/>
      <i/>
      <sz val="12.0"/>
      <color rgb="FFFF00FF"/>
      <name val="Arial"/>
      <scheme val="minor"/>
    </font>
    <font>
      <color theme="1"/>
      <name val="Arial"/>
    </font>
    <font>
      <color rgb="FFFF00FF"/>
      <name val="Arial"/>
    </font>
    <font>
      <b/>
      <i/>
      <sz val="15.0"/>
      <color rgb="FFFF00FF"/>
      <name val="Arial"/>
      <scheme val="minor"/>
    </font>
    <font>
      <u/>
      <sz val="12.0"/>
      <color rgb="FF0000FF"/>
    </font>
    <font>
      <sz val="12.0"/>
      <color theme="1"/>
      <name val="Arial"/>
    </font>
    <font>
      <sz val="12.0"/>
      <color rgb="FF9900FF"/>
      <name val="Arial"/>
      <scheme val="minor"/>
    </font>
    <font>
      <sz val="12.0"/>
      <color theme="8"/>
      <name val="Arial"/>
      <scheme val="minor"/>
    </font>
    <font>
      <sz val="14.0"/>
      <color rgb="FF34A853"/>
      <name val="Arial"/>
      <scheme val="minor"/>
    </font>
    <font>
      <strike/>
      <sz val="12.0"/>
      <color theme="1"/>
      <name val="Arial"/>
      <scheme val="minor"/>
    </font>
    <font>
      <strike/>
      <sz val="12.0"/>
      <color theme="8"/>
      <name val="Arial"/>
      <scheme val="minor"/>
    </font>
    <font>
      <sz val="12.0"/>
      <color theme="7"/>
      <name val="Arial"/>
      <scheme val="minor"/>
    </font>
    <font>
      <b/>
      <i/>
      <sz val="15.0"/>
      <color rgb="FFEA4335"/>
      <name val="Arial"/>
      <scheme val="minor"/>
    </font>
    <font>
      <b/>
      <i/>
      <sz val="15.0"/>
      <color theme="5"/>
      <name val="Arial"/>
      <scheme val="minor"/>
    </font>
    <font>
      <sz val="12.0"/>
      <color rgb="FF34A853"/>
      <name val="Arial"/>
    </font>
    <font>
      <sz val="12.0"/>
      <color rgb="FFEA4335"/>
      <name val="Arial"/>
    </font>
    <font>
      <b/>
      <i/>
      <sz val="12.0"/>
      <color theme="7"/>
      <name val="Arial"/>
      <scheme val="minor"/>
    </font>
    <font>
      <b/>
      <i/>
      <sz val="12.0"/>
      <color rgb="FF34A853"/>
      <name val="Arial"/>
    </font>
    <font>
      <b/>
      <i/>
      <sz val="15.0"/>
      <color theme="1"/>
      <name val="Arial"/>
      <scheme val="minor"/>
    </font>
    <font>
      <b/>
      <i/>
      <sz val="15.0"/>
      <color rgb="FF00FF00"/>
      <name val="Arial"/>
      <scheme val="minor"/>
    </font>
    <font>
      <b/>
      <i/>
      <sz val="15.0"/>
      <color rgb="FF34A853"/>
      <name val="Arial"/>
      <scheme val="minor"/>
    </font>
    <font>
      <b/>
      <i/>
      <sz val="15.0"/>
      <color theme="1"/>
      <name val="Arial"/>
    </font>
    <font>
      <b/>
      <u/>
      <color rgb="FF0000FF"/>
    </font>
    <font>
      <b/>
      <color rgb="FFFF6D0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theme="4"/>
        <bgColor theme="4"/>
      </patternFill>
    </fill>
    <fill>
      <patternFill patternType="solid">
        <fgColor rgb="FF46BDC6"/>
        <bgColor rgb="FF46BDC6"/>
      </patternFill>
    </fill>
    <fill>
      <patternFill patternType="solid">
        <fgColor rgb="FF00FF00"/>
        <bgColor rgb="FF00FF00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34A853"/>
        <bgColor rgb="FF34A853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horizontal="right" readingOrder="0"/>
    </xf>
    <xf borderId="0" fillId="0" fontId="1" numFmtId="0" xfId="0" applyFont="1"/>
    <xf borderId="0" fillId="0" fontId="1" numFmtId="3" xfId="0" applyAlignment="1" applyFont="1" applyNumberFormat="1">
      <alignment horizontal="right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3" xfId="0" applyAlignment="1" applyFont="1" applyNumberFormat="1">
      <alignment horizontal="right"/>
    </xf>
    <xf borderId="0" fillId="0" fontId="2" numFmtId="3" xfId="0" applyAlignment="1" applyFont="1" applyNumberFormat="1">
      <alignment horizontal="right" readingOrder="0"/>
    </xf>
    <xf borderId="0" fillId="0" fontId="2" numFmtId="3" xfId="0" applyFont="1" applyNumberForma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3" xfId="0" applyAlignment="1" applyFont="1" applyNumberFormat="1">
      <alignment horizontal="right" readingOrder="0"/>
    </xf>
    <xf borderId="0" fillId="0" fontId="4" numFmtId="0" xfId="0" applyAlignment="1" applyFont="1">
      <alignment horizontal="right" readingOrder="0"/>
    </xf>
    <xf borderId="0" fillId="3" fontId="4" numFmtId="2" xfId="0" applyAlignment="1" applyFill="1" applyFont="1" applyNumberFormat="1">
      <alignment horizontal="center" readingOrder="0" vertical="bottom"/>
    </xf>
    <xf borderId="0" fillId="0" fontId="3" numFmtId="0" xfId="0" applyFont="1"/>
    <xf borderId="0" fillId="0" fontId="1" numFmtId="0" xfId="0" applyAlignment="1" applyFont="1">
      <alignment horizontal="right" readingOrder="0"/>
    </xf>
    <xf borderId="0" fillId="0" fontId="1" numFmtId="3" xfId="0" applyAlignment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0" fontId="1" numFmtId="164" xfId="0" applyAlignment="1" applyFont="1" applyNumberFormat="1">
      <alignment horizontal="right" readingOrder="0"/>
    </xf>
    <xf borderId="0" fillId="0" fontId="1" numFmtId="165" xfId="0" applyAlignment="1" applyFont="1" applyNumberFormat="1">
      <alignment horizontal="right" readingOrder="0"/>
    </xf>
    <xf borderId="0" fillId="0" fontId="5" numFmtId="166" xfId="0" applyAlignment="1" applyFont="1" applyNumberFormat="1">
      <alignment horizontal="right" readingOrder="0"/>
    </xf>
    <xf borderId="0" fillId="0" fontId="1" numFmtId="166" xfId="0" applyFont="1" applyNumberFormat="1"/>
    <xf borderId="0" fillId="4" fontId="1" numFmtId="0" xfId="0" applyAlignment="1" applyFill="1" applyFont="1">
      <alignment readingOrder="0"/>
    </xf>
    <xf borderId="0" fillId="4" fontId="1" numFmtId="0" xfId="0" applyFont="1"/>
    <xf borderId="0" fillId="0" fontId="1" numFmtId="0" xfId="0" applyAlignment="1" applyFont="1">
      <alignment horizontal="right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3" xfId="0" applyFont="1" applyNumberFormat="1"/>
    <xf borderId="0" fillId="0" fontId="2" numFmtId="3" xfId="0" applyAlignment="1" applyFont="1" applyNumberFormat="1">
      <alignment readingOrder="0"/>
    </xf>
    <xf borderId="0" fillId="5" fontId="1" numFmtId="0" xfId="0" applyFill="1" applyFont="1"/>
    <xf borderId="0" fillId="0" fontId="1" numFmtId="1" xfId="0" applyFont="1" applyNumberFormat="1"/>
    <xf borderId="0" fillId="0" fontId="6" numFmtId="0" xfId="0" applyAlignment="1" applyFont="1">
      <alignment readingOrder="0"/>
    </xf>
    <xf borderId="0" fillId="0" fontId="6" numFmtId="0" xfId="0" applyFont="1"/>
    <xf borderId="0" fillId="0" fontId="6" numFmtId="1" xfId="0" applyFont="1" applyNumberFormat="1"/>
    <xf borderId="0" fillId="0" fontId="7" numFmtId="0" xfId="0" applyAlignment="1" applyFont="1">
      <alignment readingOrder="0"/>
    </xf>
    <xf borderId="0" fillId="0" fontId="7" numFmtId="0" xfId="0" applyFont="1"/>
    <xf borderId="0" fillId="0" fontId="8" numFmtId="1" xfId="0" applyAlignment="1" applyFont="1" applyNumberFormat="1">
      <alignment readingOrder="0"/>
    </xf>
    <xf borderId="0" fillId="0" fontId="9" numFmtId="1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5" fontId="1" numFmtId="0" xfId="0" applyAlignment="1" applyFont="1">
      <alignment readingOrder="0"/>
    </xf>
    <xf borderId="0" fillId="0" fontId="5" numFmtId="3" xfId="0" applyAlignment="1" applyFont="1" applyNumberFormat="1">
      <alignment readingOrder="0"/>
    </xf>
    <xf borderId="0" fillId="0" fontId="5" numFmtId="1" xfId="0" applyFont="1" applyNumberFormat="1"/>
    <xf borderId="0" fillId="0" fontId="5" numFmtId="0" xfId="0" applyFont="1"/>
    <xf borderId="0" fillId="0" fontId="5" numFmtId="3" xfId="0" applyFont="1" applyNumberFormat="1"/>
    <xf borderId="0" fillId="0" fontId="1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5" numFmtId="3" xfId="0" applyAlignment="1" applyFont="1" applyNumberFormat="1">
      <alignment horizontal="right" readingOrder="0"/>
    </xf>
    <xf borderId="0" fillId="0" fontId="5" numFmtId="3" xfId="0" applyAlignment="1" applyFont="1" applyNumberFormat="1">
      <alignment horizontal="right"/>
    </xf>
    <xf borderId="0" fillId="0" fontId="4" numFmtId="0" xfId="0" applyFont="1"/>
    <xf borderId="0" fillId="0" fontId="4" numFmtId="10" xfId="0" applyFont="1" applyNumberFormat="1"/>
    <xf borderId="0" fillId="0" fontId="4" numFmtId="10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0" numFmtId="0" xfId="0" applyFont="1"/>
    <xf borderId="0" fillId="0" fontId="10" numFmtId="0" xfId="0" applyAlignment="1" applyFont="1">
      <alignment readingOrder="0"/>
    </xf>
    <xf borderId="0" fillId="6" fontId="10" numFmtId="0" xfId="0" applyFill="1" applyFont="1"/>
    <xf borderId="0" fillId="6" fontId="1" numFmtId="0" xfId="0" applyFont="1"/>
    <xf borderId="0" fillId="0" fontId="1" numFmtId="166" xfId="0" applyAlignment="1" applyFont="1" applyNumberFormat="1">
      <alignment horizontal="right" readingOrder="0"/>
    </xf>
    <xf borderId="0" fillId="0" fontId="11" numFmtId="166" xfId="0" applyAlignment="1" applyFont="1" applyNumberFormat="1">
      <alignment horizontal="right" readingOrder="0"/>
    </xf>
    <xf borderId="0" fillId="0" fontId="6" numFmtId="166" xfId="0" applyAlignment="1" applyFont="1" applyNumberFormat="1">
      <alignment horizontal="right" readingOrder="0"/>
    </xf>
    <xf borderId="0" fillId="0" fontId="12" numFmtId="3" xfId="0" applyAlignment="1" applyFont="1" applyNumberFormat="1">
      <alignment horizontal="right"/>
    </xf>
    <xf borderId="0" fillId="0" fontId="12" numFmtId="0" xfId="0" applyAlignment="1" applyFont="1">
      <alignment horizontal="right"/>
    </xf>
    <xf borderId="0" fillId="0" fontId="12" numFmtId="0" xfId="0" applyAlignment="1" applyFont="1">
      <alignment horizontal="left" readingOrder="0"/>
    </xf>
    <xf borderId="0" fillId="0" fontId="12" numFmtId="3" xfId="0" applyAlignment="1" applyFont="1" applyNumberFormat="1">
      <alignment horizontal="right" readingOrder="0"/>
    </xf>
    <xf borderId="0" fillId="0" fontId="13" numFmtId="0" xfId="0" applyAlignment="1" applyFont="1">
      <alignment horizontal="left" readingOrder="0"/>
    </xf>
    <xf borderId="0" fillId="0" fontId="13" numFmtId="3" xfId="0" applyAlignment="1" applyFont="1" applyNumberFormat="1">
      <alignment horizontal="left" readingOrder="0"/>
    </xf>
    <xf borderId="0" fillId="0" fontId="13" numFmtId="1" xfId="0" applyAlignment="1" applyFont="1" applyNumberFormat="1">
      <alignment horizontal="left" readingOrder="0"/>
    </xf>
    <xf borderId="0" fillId="0" fontId="12" numFmtId="167" xfId="0" applyAlignment="1" applyFont="1" applyNumberFormat="1">
      <alignment readingOrder="0"/>
    </xf>
    <xf borderId="0" fillId="0" fontId="12" numFmtId="3" xfId="0" applyAlignment="1" applyFont="1" applyNumberFormat="1">
      <alignment horizontal="left" readingOrder="0"/>
    </xf>
    <xf borderId="0" fillId="0" fontId="12" numFmtId="0" xfId="0" applyAlignment="1" applyFont="1">
      <alignment horizontal="right" readingOrder="0"/>
    </xf>
    <xf borderId="0" fillId="0" fontId="14" numFmtId="0" xfId="0" applyAlignment="1" applyFont="1">
      <alignment horizontal="left" readingOrder="0"/>
    </xf>
    <xf borderId="0" fillId="0" fontId="14" numFmtId="3" xfId="0" applyAlignment="1" applyFont="1" applyNumberFormat="1">
      <alignment horizontal="right"/>
    </xf>
    <xf borderId="0" fillId="0" fontId="14" numFmtId="0" xfId="0" applyAlignment="1" applyFont="1">
      <alignment horizontal="right"/>
    </xf>
    <xf borderId="0" fillId="0" fontId="15" numFmtId="0" xfId="0" applyAlignment="1" applyFont="1">
      <alignment readingOrder="0"/>
    </xf>
    <xf borderId="0" fillId="0" fontId="15" numFmtId="3" xfId="0" applyAlignment="1" applyFont="1" applyNumberFormat="1">
      <alignment horizontal="right" readingOrder="0"/>
    </xf>
    <xf borderId="0" fillId="0" fontId="15" numFmtId="168" xfId="0" applyAlignment="1" applyFont="1" applyNumberFormat="1">
      <alignment horizontal="right" readingOrder="0"/>
    </xf>
    <xf borderId="0" fillId="0" fontId="13" numFmtId="0" xfId="0" applyAlignment="1" applyFont="1">
      <alignment readingOrder="0"/>
    </xf>
    <xf borderId="0" fillId="0" fontId="12" numFmtId="0" xfId="0" applyAlignment="1" applyFont="1">
      <alignment horizontal="left"/>
    </xf>
    <xf borderId="0" fillId="0" fontId="16" numFmtId="0" xfId="0" applyAlignment="1" applyFont="1">
      <alignment readingOrder="0"/>
    </xf>
    <xf borderId="0" fillId="0" fontId="15" numFmtId="166" xfId="0" applyAlignment="1" applyFont="1" applyNumberFormat="1">
      <alignment horizontal="right" readingOrder="0"/>
    </xf>
    <xf borderId="0" fillId="0" fontId="15" numFmtId="0" xfId="0" applyAlignment="1" applyFont="1">
      <alignment horizontal="right" readingOrder="0"/>
    </xf>
    <xf borderId="0" fillId="0" fontId="15" numFmtId="0" xfId="0" applyAlignment="1" applyFont="1">
      <alignment horizontal="right"/>
    </xf>
    <xf borderId="0" fillId="0" fontId="15" numFmtId="0" xfId="0" applyFont="1"/>
    <xf borderId="0" fillId="0" fontId="15" numFmtId="166" xfId="0" applyAlignment="1" applyFont="1" applyNumberFormat="1">
      <alignment horizontal="right"/>
    </xf>
    <xf borderId="0" fillId="0" fontId="17" numFmtId="0" xfId="0" applyAlignment="1" applyFont="1">
      <alignment readingOrder="0"/>
    </xf>
    <xf borderId="0" fillId="0" fontId="17" numFmtId="166" xfId="0" applyAlignment="1" applyFont="1" applyNumberFormat="1">
      <alignment horizontal="right"/>
    </xf>
    <xf borderId="0" fillId="0" fontId="18" numFmtId="0" xfId="0" applyAlignment="1" applyFont="1">
      <alignment readingOrder="0"/>
    </xf>
    <xf borderId="0" fillId="0" fontId="18" numFmtId="166" xfId="0" applyAlignment="1" applyFont="1" applyNumberFormat="1">
      <alignment horizontal="right" readingOrder="0"/>
    </xf>
    <xf borderId="0" fillId="0" fontId="19" numFmtId="0" xfId="0" applyAlignment="1" applyFont="1">
      <alignment horizontal="right"/>
    </xf>
    <xf borderId="0" fillId="0" fontId="19" numFmtId="0" xfId="0" applyAlignment="1" applyFont="1">
      <alignment horizontal="right" readingOrder="0"/>
    </xf>
    <xf borderId="0" fillId="0" fontId="19" numFmtId="0" xfId="0" applyFont="1"/>
    <xf borderId="0" fillId="0" fontId="15" numFmtId="9" xfId="0" applyAlignment="1" applyFont="1" applyNumberFormat="1">
      <alignment horizontal="right" readingOrder="0"/>
    </xf>
    <xf borderId="0" fillId="0" fontId="16" numFmtId="166" xfId="0" applyAlignment="1" applyFont="1" applyNumberFormat="1">
      <alignment horizontal="right"/>
    </xf>
    <xf borderId="0" fillId="0" fontId="15" numFmtId="166" xfId="0" applyAlignment="1" applyFont="1" applyNumberFormat="1">
      <alignment readingOrder="0"/>
    </xf>
    <xf borderId="0" fillId="0" fontId="15" numFmtId="10" xfId="0" applyAlignment="1" applyFont="1" applyNumberFormat="1">
      <alignment readingOrder="0"/>
    </xf>
    <xf borderId="0" fillId="0" fontId="15" numFmtId="166" xfId="0" applyFont="1" applyNumberFormat="1"/>
    <xf borderId="0" fillId="0" fontId="17" numFmtId="166" xfId="0" applyAlignment="1" applyFont="1" applyNumberFormat="1">
      <alignment readingOrder="0"/>
    </xf>
    <xf borderId="0" fillId="0" fontId="15" numFmtId="10" xfId="0" applyAlignment="1" applyFont="1" applyNumberFormat="1">
      <alignment horizontal="right" readingOrder="0"/>
    </xf>
    <xf borderId="0" fillId="0" fontId="20" numFmtId="166" xfId="0" applyAlignment="1" applyFont="1" applyNumberFormat="1">
      <alignment readingOrder="0"/>
    </xf>
    <xf borderId="0" fillId="0" fontId="21" numFmtId="0" xfId="0" applyAlignment="1" applyFont="1">
      <alignment readingOrder="0"/>
    </xf>
    <xf borderId="0" fillId="0" fontId="21" numFmtId="166" xfId="0" applyAlignment="1" applyFont="1" applyNumberFormat="1">
      <alignment readingOrder="0"/>
    </xf>
    <xf borderId="0" fillId="0" fontId="21" numFmtId="9" xfId="0" applyAlignment="1" applyFont="1" applyNumberFormat="1">
      <alignment readingOrder="0"/>
    </xf>
    <xf borderId="0" fillId="0" fontId="17" numFmtId="0" xfId="0" applyAlignment="1" applyFont="1">
      <alignment horizontal="right" readingOrder="0"/>
    </xf>
    <xf borderId="0" fillId="0" fontId="17" numFmtId="0" xfId="0" applyAlignment="1" applyFont="1">
      <alignment horizontal="right"/>
    </xf>
    <xf borderId="0" fillId="0" fontId="17" numFmtId="0" xfId="0" applyFont="1"/>
    <xf borderId="0" fillId="0" fontId="21" numFmtId="169" xfId="0" applyAlignment="1" applyFont="1" applyNumberFormat="1">
      <alignment readingOrder="0"/>
    </xf>
    <xf borderId="0" fillId="0" fontId="18" numFmtId="166" xfId="0" applyAlignment="1" applyFont="1" applyNumberFormat="1">
      <alignment readingOrder="0"/>
    </xf>
    <xf borderId="0" fillId="0" fontId="18" numFmtId="0" xfId="0" applyAlignment="1" applyFont="1">
      <alignment horizontal="right" readingOrder="0"/>
    </xf>
    <xf borderId="0" fillId="0" fontId="18" numFmtId="0" xfId="0" applyAlignment="1" applyFont="1">
      <alignment horizontal="right"/>
    </xf>
    <xf borderId="0" fillId="0" fontId="18" numFmtId="0" xfId="0" applyFont="1"/>
    <xf borderId="0" fillId="7" fontId="15" numFmtId="0" xfId="0" applyAlignment="1" applyFill="1" applyFont="1">
      <alignment readingOrder="0"/>
    </xf>
    <xf borderId="0" fillId="7" fontId="15" numFmtId="166" xfId="0" applyAlignment="1" applyFont="1" applyNumberFormat="1">
      <alignment horizontal="right" readingOrder="0"/>
    </xf>
    <xf borderId="0" fillId="7" fontId="15" numFmtId="0" xfId="0" applyAlignment="1" applyFont="1">
      <alignment horizontal="right"/>
    </xf>
    <xf borderId="0" fillId="7" fontId="15" numFmtId="0" xfId="0" applyFont="1"/>
    <xf borderId="0" fillId="0" fontId="17" numFmtId="166" xfId="0" applyAlignment="1" applyFont="1" applyNumberFormat="1">
      <alignment horizontal="right" readingOrder="0"/>
    </xf>
    <xf borderId="0" fillId="0" fontId="15" numFmtId="169" xfId="0" applyAlignment="1" applyFont="1" applyNumberFormat="1">
      <alignment horizontal="right" readingOrder="0"/>
    </xf>
    <xf borderId="0" fillId="0" fontId="22" numFmtId="0" xfId="0" applyAlignment="1" applyFont="1">
      <alignment readingOrder="0"/>
    </xf>
    <xf borderId="0" fillId="8" fontId="22" numFmtId="0" xfId="0" applyAlignment="1" applyFill="1" applyFont="1">
      <alignment readingOrder="0"/>
    </xf>
    <xf borderId="0" fillId="8" fontId="22" numFmtId="166" xfId="0" applyAlignment="1" applyFont="1" applyNumberFormat="1">
      <alignment readingOrder="0"/>
    </xf>
    <xf borderId="0" fillId="8" fontId="15" numFmtId="0" xfId="0" applyAlignment="1" applyFont="1">
      <alignment horizontal="right"/>
    </xf>
    <xf borderId="0" fillId="8" fontId="15" numFmtId="0" xfId="0" applyFont="1"/>
    <xf borderId="0" fillId="0" fontId="22" numFmtId="9" xfId="0" applyAlignment="1" applyFont="1" applyNumberFormat="1">
      <alignment readingOrder="0"/>
    </xf>
    <xf borderId="0" fillId="0" fontId="16" numFmtId="166" xfId="0" applyAlignment="1" applyFont="1" applyNumberFormat="1">
      <alignment horizontal="right" readingOrder="0"/>
    </xf>
    <xf borderId="0" fillId="0" fontId="23" numFmtId="0" xfId="0" applyAlignment="1" applyFont="1">
      <alignment readingOrder="0"/>
    </xf>
    <xf borderId="0" fillId="0" fontId="24" numFmtId="166" xfId="0" applyAlignment="1" applyFont="1" applyNumberFormat="1">
      <alignment horizontal="right"/>
    </xf>
    <xf borderId="0" fillId="0" fontId="24" numFmtId="0" xfId="0" applyAlignment="1" applyFont="1">
      <alignment horizontal="right"/>
    </xf>
    <xf borderId="0" fillId="0" fontId="24" numFmtId="0" xfId="0" applyFont="1"/>
    <xf borderId="0" fillId="0" fontId="23" numFmtId="0" xfId="0" applyFont="1"/>
    <xf borderId="0" fillId="0" fontId="23" numFmtId="0" xfId="0" applyAlignment="1" applyFont="1">
      <alignment readingOrder="0"/>
    </xf>
    <xf borderId="0" fillId="0" fontId="10" numFmtId="0" xfId="0" applyAlignment="1" applyFont="1">
      <alignment horizontal="left" readingOrder="0"/>
    </xf>
    <xf borderId="0" fillId="0" fontId="1" numFmtId="166" xfId="0" applyAlignment="1" applyFont="1" applyNumberFormat="1">
      <alignment horizontal="left"/>
    </xf>
    <xf borderId="0" fillId="0" fontId="10" numFmtId="166" xfId="0" applyAlignment="1" applyFont="1" applyNumberFormat="1">
      <alignment horizontal="left" readingOrder="0"/>
    </xf>
    <xf borderId="0" fillId="9" fontId="15" numFmtId="0" xfId="0" applyAlignment="1" applyFill="1" applyFont="1">
      <alignment readingOrder="0"/>
    </xf>
    <xf borderId="0" fillId="9" fontId="15" numFmtId="166" xfId="0" applyAlignment="1" applyFont="1" applyNumberFormat="1">
      <alignment horizontal="right" readingOrder="0"/>
    </xf>
    <xf borderId="0" fillId="9" fontId="12" numFmtId="0" xfId="0" applyFont="1"/>
    <xf borderId="0" fillId="9" fontId="15" numFmtId="0" xfId="0" applyFont="1"/>
    <xf borderId="0" fillId="9" fontId="15" numFmtId="0" xfId="0" applyAlignment="1" applyFont="1">
      <alignment horizontal="right"/>
    </xf>
    <xf borderId="0" fillId="9" fontId="15" numFmtId="0" xfId="0" applyAlignment="1" applyFont="1">
      <alignment horizontal="right" readingOrder="0"/>
    </xf>
    <xf borderId="0" fillId="0" fontId="12" numFmtId="0" xfId="0" applyAlignment="1" applyFont="1">
      <alignment readingOrder="0"/>
    </xf>
    <xf borderId="0" fillId="0" fontId="12" numFmtId="1" xfId="0" applyAlignment="1" applyFont="1" applyNumberFormat="1">
      <alignment readingOrder="0"/>
    </xf>
    <xf borderId="1" fillId="0" fontId="12" numFmtId="1" xfId="0" applyAlignment="1" applyBorder="1" applyFont="1" applyNumberForma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25" numFmtId="1" xfId="0" applyAlignment="1" applyFont="1" applyNumberFormat="1">
      <alignment readingOrder="0"/>
    </xf>
    <xf borderId="0" fillId="0" fontId="25" numFmtId="0" xfId="0" applyFont="1"/>
    <xf borderId="0" fillId="0" fontId="12" numFmtId="3" xfId="0" applyAlignment="1" applyFont="1" applyNumberFormat="1">
      <alignment readingOrder="0"/>
    </xf>
    <xf borderId="0" fillId="0" fontId="12" numFmtId="3" xfId="0" applyFont="1" applyNumberFormat="1"/>
    <xf borderId="0" fillId="0" fontId="12" numFmtId="169" xfId="0" applyFont="1" applyNumberFormat="1"/>
    <xf borderId="0" fillId="0" fontId="27" numFmtId="0" xfId="0" applyAlignment="1" applyFont="1">
      <alignment readingOrder="0"/>
    </xf>
    <xf borderId="0" fillId="0" fontId="27" numFmtId="0" xfId="0" applyFont="1"/>
    <xf borderId="0" fillId="10" fontId="12" numFmtId="0" xfId="0" applyFill="1" applyFont="1"/>
    <xf borderId="0" fillId="0" fontId="27" numFmtId="3" xfId="0" applyAlignment="1" applyFont="1" applyNumberFormat="1">
      <alignment readingOrder="0"/>
    </xf>
    <xf borderId="0" fillId="0" fontId="12" numFmtId="0" xfId="0" applyFont="1"/>
    <xf borderId="0" fillId="0" fontId="27" numFmtId="0" xfId="0" applyAlignment="1" applyFont="1">
      <alignment horizontal="left" readingOrder="0"/>
    </xf>
    <xf borderId="0" fillId="0" fontId="27" numFmtId="0" xfId="0" applyAlignment="1" applyFont="1">
      <alignment horizontal="right" readingOrder="0"/>
    </xf>
    <xf borderId="0" fillId="0" fontId="28" numFmtId="1" xfId="0" applyAlignment="1" applyFont="1" applyNumberFormat="1">
      <alignment readingOrder="0"/>
    </xf>
    <xf borderId="0" fillId="0" fontId="29" numFmtId="0" xfId="0" applyAlignment="1" applyFont="1">
      <alignment vertical="bottom"/>
    </xf>
    <xf borderId="0" fillId="0" fontId="29" numFmtId="0" xfId="0" applyAlignment="1" applyFont="1">
      <alignment vertical="bottom"/>
    </xf>
    <xf borderId="0" fillId="11" fontId="12" numFmtId="0" xfId="0" applyFill="1" applyFont="1"/>
    <xf borderId="0" fillId="0" fontId="27" numFmtId="3" xfId="0" applyFont="1" applyNumberFormat="1"/>
    <xf borderId="0" fillId="6" fontId="12" numFmtId="0" xfId="0" applyFont="1"/>
    <xf borderId="0" fillId="0" fontId="27" numFmtId="1" xfId="0" applyAlignment="1" applyFont="1" applyNumberFormat="1">
      <alignment readingOrder="0"/>
    </xf>
    <xf borderId="0" fillId="0" fontId="30" numFmtId="10" xfId="0" applyAlignment="1" applyFont="1" applyNumberFormat="1">
      <alignment readingOrder="0" vertical="bottom"/>
    </xf>
    <xf borderId="0" fillId="0" fontId="30" numFmtId="10" xfId="0" applyAlignment="1" applyFont="1" applyNumberFormat="1">
      <alignment vertical="bottom"/>
    </xf>
    <xf borderId="0" fillId="7" fontId="1" numFmtId="0" xfId="0" applyFont="1"/>
    <xf borderId="0" fillId="7" fontId="31" numFmtId="0" xfId="0" applyAlignment="1" applyFont="1">
      <alignment horizontal="right" readingOrder="0"/>
    </xf>
    <xf borderId="0" fillId="0" fontId="1" numFmtId="170" xfId="0" applyAlignment="1" applyFont="1" applyNumberFormat="1">
      <alignment readingOrder="0"/>
    </xf>
    <xf borderId="0" fillId="0" fontId="1" numFmtId="170" xfId="0" applyAlignment="1" applyFont="1" applyNumberFormat="1">
      <alignment horizontal="right" readingOrder="0"/>
    </xf>
    <xf borderId="0" fillId="0" fontId="1" numFmtId="170" xfId="0" applyFont="1" applyNumberFormat="1"/>
    <xf borderId="0" fillId="0" fontId="2" numFmtId="0" xfId="0" applyAlignment="1" applyFont="1">
      <alignment horizontal="right" readingOrder="0"/>
    </xf>
    <xf borderId="0" fillId="0" fontId="2" numFmtId="167" xfId="0" applyAlignment="1" applyFont="1" applyNumberFormat="1">
      <alignment horizontal="right" readingOrder="0"/>
    </xf>
    <xf borderId="0" fillId="0" fontId="32" numFmtId="0" xfId="0" applyAlignment="1" applyFont="1">
      <alignment readingOrder="0"/>
    </xf>
    <xf borderId="0" fillId="10" fontId="1" numFmtId="0" xfId="0" applyFont="1"/>
    <xf borderId="0" fillId="10" fontId="1" numFmtId="3" xfId="0" applyAlignment="1" applyFont="1" applyNumberFormat="1">
      <alignment horizontal="right"/>
    </xf>
    <xf borderId="0" fillId="0" fontId="1" numFmtId="10" xfId="0" applyAlignment="1" applyFont="1" applyNumberFormat="1">
      <alignment horizontal="right" readingOrder="0"/>
    </xf>
    <xf borderId="0" fillId="0" fontId="1" numFmtId="9" xfId="0" applyAlignment="1" applyFont="1" applyNumberFormat="1">
      <alignment horizontal="right" readingOrder="0"/>
    </xf>
    <xf borderId="0" fillId="0" fontId="1" numFmtId="4" xfId="0" applyAlignment="1" applyFont="1" applyNumberFormat="1">
      <alignment horizontal="right" readingOrder="0"/>
    </xf>
    <xf borderId="0" fillId="0" fontId="33" numFmtId="3" xfId="0" applyAlignment="1" applyFont="1" applyNumberFormat="1">
      <alignment horizontal="right" vertical="bottom"/>
    </xf>
    <xf borderId="0" fillId="0" fontId="34" numFmtId="0" xfId="0" applyAlignment="1" applyFont="1">
      <alignment readingOrder="0"/>
    </xf>
    <xf borderId="0" fillId="0" fontId="34" numFmtId="3" xfId="0" applyAlignment="1" applyFont="1" applyNumberFormat="1">
      <alignment horizontal="right" readingOrder="0"/>
    </xf>
    <xf borderId="0" fillId="0" fontId="34" numFmtId="0" xfId="0" applyFont="1"/>
    <xf borderId="0" fillId="0" fontId="1" numFmtId="1" xfId="0" applyAlignment="1" applyFont="1" applyNumberFormat="1">
      <alignment horizontal="right" readingOrder="0"/>
    </xf>
    <xf borderId="0" fillId="0" fontId="35" numFmtId="0" xfId="0" applyAlignment="1" applyFont="1">
      <alignment readingOrder="0"/>
    </xf>
    <xf borderId="0" fillId="0" fontId="6" numFmtId="3" xfId="0" applyAlignment="1" applyFont="1" applyNumberFormat="1">
      <alignment horizontal="right" readingOrder="0"/>
    </xf>
    <xf borderId="0" fillId="0" fontId="35" numFmtId="0" xfId="0" applyFont="1"/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3" numFmtId="170" xfId="0" applyAlignment="1" applyFont="1" applyNumberFormat="1">
      <alignment readingOrder="0"/>
    </xf>
    <xf borderId="0" fillId="0" fontId="36" numFmtId="170" xfId="0" applyAlignment="1" applyFont="1" applyNumberFormat="1">
      <alignment horizontal="right" readingOrder="0"/>
    </xf>
    <xf borderId="0" fillId="0" fontId="3" numFmtId="170" xfId="0" applyFont="1" applyNumberFormat="1"/>
    <xf borderId="1" fillId="0" fontId="1" numFmtId="3" xfId="0" applyAlignment="1" applyBorder="1" applyFont="1" applyNumberFormat="1">
      <alignment horizontal="right" readingOrder="0"/>
    </xf>
    <xf borderId="0" fillId="0" fontId="37" numFmtId="0" xfId="0" applyAlignment="1" applyFont="1">
      <alignment readingOrder="0"/>
    </xf>
    <xf borderId="0" fillId="0" fontId="11" numFmtId="3" xfId="0" applyAlignment="1" applyFont="1" applyNumberFormat="1">
      <alignment horizontal="right" readingOrder="0"/>
    </xf>
    <xf borderId="0" fillId="0" fontId="38" numFmtId="0" xfId="0" applyAlignment="1" applyFont="1">
      <alignment readingOrder="0"/>
    </xf>
    <xf borderId="0" fillId="0" fontId="35" numFmtId="3" xfId="0" applyAlignment="1" applyFont="1" applyNumberFormat="1">
      <alignment horizontal="right" readingOrder="0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39" numFmtId="3" xfId="0" applyAlignment="1" applyFont="1" applyNumberFormat="1">
      <alignment horizontal="right" readingOrder="0"/>
    </xf>
    <xf borderId="0" fillId="0" fontId="40" numFmtId="0" xfId="0" applyAlignment="1" applyFont="1">
      <alignment readingOrder="0"/>
    </xf>
    <xf borderId="0" fillId="0" fontId="41" numFmtId="0" xfId="0" applyAlignment="1" applyFont="1">
      <alignment readingOrder="0"/>
    </xf>
    <xf borderId="0" fillId="0" fontId="41" numFmtId="3" xfId="0" applyAlignment="1" applyFont="1" applyNumberFormat="1">
      <alignment horizontal="right" readingOrder="0"/>
    </xf>
    <xf borderId="0" fillId="0" fontId="41" numFmtId="0" xfId="0" applyFont="1"/>
    <xf borderId="0" fillId="0" fontId="42" numFmtId="3" xfId="0" applyAlignment="1" applyFont="1" applyNumberFormat="1">
      <alignment horizontal="right" vertical="bottom"/>
    </xf>
    <xf borderId="0" fillId="0" fontId="29" numFmtId="3" xfId="0" applyAlignment="1" applyFont="1" applyNumberFormat="1">
      <alignment vertical="bottom"/>
    </xf>
    <xf borderId="0" fillId="0" fontId="43" numFmtId="3" xfId="0" applyAlignment="1" applyFont="1" applyNumberFormat="1">
      <alignment horizontal="right" vertical="bottom"/>
    </xf>
    <xf borderId="0" fillId="0" fontId="44" numFmtId="3" xfId="0" applyAlignment="1" applyFont="1" applyNumberFormat="1">
      <alignment horizontal="right" readingOrder="0"/>
    </xf>
    <xf borderId="0" fillId="0" fontId="45" numFmtId="3" xfId="0" applyAlignment="1" applyFont="1" applyNumberFormat="1">
      <alignment horizontal="right" vertical="bottom"/>
    </xf>
    <xf borderId="0" fillId="0" fontId="46" numFmtId="0" xfId="0" applyAlignment="1" applyFont="1">
      <alignment readingOrder="0"/>
    </xf>
    <xf borderId="0" fillId="0" fontId="47" numFmtId="3" xfId="0" applyAlignment="1" applyFont="1" applyNumberFormat="1">
      <alignment horizontal="right" readingOrder="0"/>
    </xf>
    <xf borderId="0" fillId="0" fontId="48" numFmtId="3" xfId="0" applyAlignment="1" applyFont="1" applyNumberFormat="1">
      <alignment horizontal="right" readingOrder="0"/>
    </xf>
    <xf borderId="0" fillId="0" fontId="46" numFmtId="0" xfId="0" applyFont="1"/>
    <xf borderId="0" fillId="0" fontId="1" numFmtId="10" xfId="0" applyAlignment="1" applyFont="1" applyNumberFormat="1">
      <alignment horizontal="right"/>
    </xf>
    <xf borderId="0" fillId="12" fontId="46" numFmtId="3" xfId="0" applyAlignment="1" applyFill="1" applyFont="1" applyNumberFormat="1">
      <alignment horizontal="right" readingOrder="0"/>
    </xf>
    <xf borderId="0" fillId="12" fontId="49" numFmtId="3" xfId="0" applyAlignment="1" applyFont="1" applyNumberFormat="1">
      <alignment horizontal="right" vertical="bottom"/>
    </xf>
    <xf borderId="0" fillId="7" fontId="1" numFmtId="3" xfId="0" applyAlignment="1" applyFont="1" applyNumberFormat="1">
      <alignment horizontal="right"/>
    </xf>
    <xf borderId="0" fillId="0" fontId="10" numFmtId="0" xfId="0" applyAlignment="1" applyFont="1">
      <alignment readingOrder="0" vertical="top"/>
    </xf>
    <xf borderId="0" fillId="0" fontId="10" numFmtId="0" xfId="0" applyAlignment="1" applyFont="1">
      <alignment horizontal="right" readingOrder="0" vertical="top"/>
    </xf>
    <xf borderId="0" fillId="0" fontId="1" numFmtId="0" xfId="0" applyAlignment="1" applyFont="1">
      <alignment readingOrder="0" vertical="top"/>
    </xf>
    <xf borderId="0" fillId="0" fontId="1" numFmtId="1" xfId="0" applyAlignment="1" applyFont="1" applyNumberFormat="1">
      <alignment horizontal="right" readingOrder="0" vertical="top"/>
    </xf>
    <xf borderId="0" fillId="0" fontId="1" numFmtId="171" xfId="0" applyAlignment="1" applyFont="1" applyNumberFormat="1">
      <alignment horizontal="right" readingOrder="0" vertical="top"/>
    </xf>
    <xf borderId="0" fillId="0" fontId="1" numFmtId="10" xfId="0" applyAlignment="1" applyFont="1" applyNumberFormat="1">
      <alignment horizontal="right" readingOrder="0" vertical="top"/>
    </xf>
    <xf borderId="0" fillId="0" fontId="13" numFmtId="0" xfId="0" applyFont="1"/>
    <xf borderId="0" fillId="0" fontId="50" numFmtId="0" xfId="0" applyAlignment="1" applyFont="1">
      <alignment readingOrder="0"/>
    </xf>
    <xf borderId="0" fillId="0" fontId="51" numFmtId="0" xfId="0" applyAlignment="1" applyFont="1">
      <alignment readingOrder="0"/>
    </xf>
    <xf borderId="0" fillId="0" fontId="5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ow.nu/aow-bedragen-2026/" TargetMode="External"/><Relationship Id="rId2" Type="http://schemas.openxmlformats.org/officeDocument/2006/relationships/hyperlink" Target="https://www.deloitte.com/nl/nl/services/tax/blogs/pakket-belastingplan-2026-tarieven-heffingskortingen.html" TargetMode="External"/><Relationship Id="rId3" Type="http://schemas.openxmlformats.org/officeDocument/2006/relationships/hyperlink" Target="https://www.svb.nl/nl/aow/bedragen-aow/aow-bedragen" TargetMode="External"/><Relationship Id="rId4" Type="http://schemas.openxmlformats.org/officeDocument/2006/relationships/hyperlink" Target="https://www.anbo.nl/raad-daad/inkomen/aow/aow-en-samenwonen/wanneer-heb-ik-een-commerciele-relatie-met-iemand-met-wie" TargetMode="External"/><Relationship Id="rId5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8.75"/>
    <col customWidth="1" min="2" max="2" width="39.13"/>
    <col customWidth="1" min="3" max="3" width="49.75"/>
    <col customWidth="1" min="4" max="4" width="34.25"/>
    <col customWidth="1" min="5" max="5" width="14.38"/>
    <col customWidth="1" min="6" max="6" width="32.75"/>
    <col customWidth="1" min="7" max="7" width="14.38"/>
    <col customWidth="1" min="8" max="8" width="15.75"/>
    <col customWidth="1" min="9" max="9" width="14.38"/>
    <col customWidth="1" min="10" max="10" width="12.63"/>
    <col customWidth="1" min="11" max="11" width="14.38"/>
    <col customWidth="1" min="12" max="25" width="12.63"/>
  </cols>
  <sheetData>
    <row r="1">
      <c r="A1" s="1" t="s">
        <v>0</v>
      </c>
      <c r="B1" s="2"/>
      <c r="C1" s="1">
        <v>2025.0</v>
      </c>
      <c r="D1" s="2"/>
      <c r="E1" s="1">
        <v>2026.0</v>
      </c>
      <c r="F1" s="2"/>
      <c r="G1" s="1">
        <v>2027.0</v>
      </c>
      <c r="H1" s="2"/>
      <c r="I1" s="1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/>
      <c r="B2" s="3"/>
      <c r="C2" s="4" t="s">
        <v>1</v>
      </c>
      <c r="D2" s="5"/>
      <c r="E2" s="4" t="s">
        <v>1</v>
      </c>
      <c r="F2" s="5"/>
      <c r="G2" s="4" t="s">
        <v>2</v>
      </c>
      <c r="H2" s="5"/>
      <c r="I2" s="6"/>
      <c r="J2" s="5"/>
      <c r="K2" s="6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3"/>
      <c r="B3" s="3"/>
      <c r="C3" s="6"/>
      <c r="D3" s="5"/>
      <c r="E3" s="6"/>
      <c r="F3" s="5"/>
      <c r="G3" s="6"/>
      <c r="H3" s="5"/>
      <c r="I3" s="6"/>
      <c r="J3" s="5"/>
      <c r="K3" s="6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3" t="s">
        <v>3</v>
      </c>
      <c r="B4" s="5"/>
      <c r="C4" s="3">
        <v>162000.0</v>
      </c>
      <c r="D4" s="5"/>
      <c r="E4" s="3"/>
      <c r="F4" s="5"/>
      <c r="G4" s="3"/>
      <c r="H4" s="5"/>
      <c r="I4" s="3"/>
      <c r="J4" s="5"/>
      <c r="K4" s="3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3"/>
      <c r="B5" s="5"/>
      <c r="C5" s="3"/>
      <c r="D5" s="5"/>
      <c r="E5" s="3"/>
      <c r="F5" s="5"/>
      <c r="G5" s="3"/>
      <c r="H5" s="5"/>
      <c r="I5" s="3"/>
      <c r="J5" s="5"/>
      <c r="K5" s="3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3" t="s">
        <v>4</v>
      </c>
      <c r="B6" s="5"/>
      <c r="C6" s="3">
        <v>43000.0</v>
      </c>
      <c r="D6" s="5"/>
      <c r="E6" s="3"/>
      <c r="F6" s="5"/>
      <c r="G6" s="3"/>
      <c r="H6" s="5"/>
      <c r="I6" s="3"/>
      <c r="J6" s="5"/>
      <c r="K6" s="3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7" t="s">
        <v>5</v>
      </c>
      <c r="B7" s="8"/>
      <c r="C7" s="9">
        <f>C4+C6</f>
        <v>205000</v>
      </c>
      <c r="D7" s="8"/>
      <c r="E7" s="9"/>
      <c r="F7" s="8"/>
      <c r="G7" s="9"/>
      <c r="H7" s="8"/>
      <c r="I7" s="9"/>
      <c r="J7" s="8"/>
      <c r="K7" s="9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7"/>
      <c r="B8" s="8"/>
      <c r="C8" s="9"/>
      <c r="D8" s="8"/>
      <c r="E8" s="9"/>
      <c r="F8" s="8"/>
      <c r="G8" s="9"/>
      <c r="H8" s="8"/>
      <c r="I8" s="9"/>
      <c r="J8" s="8"/>
      <c r="K8" s="9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3" t="s">
        <v>6</v>
      </c>
      <c r="B9" s="3"/>
      <c r="C9" s="4">
        <v>1550.0</v>
      </c>
      <c r="D9" s="5"/>
      <c r="E9" s="4"/>
      <c r="F9" s="5"/>
      <c r="G9" s="4"/>
      <c r="H9" s="5"/>
      <c r="I9" s="4"/>
      <c r="J9" s="5"/>
      <c r="K9" s="4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3" t="s">
        <v>7</v>
      </c>
      <c r="B10" s="3"/>
      <c r="C10" s="4">
        <f>12*C9</f>
        <v>18600</v>
      </c>
      <c r="D10" s="5"/>
      <c r="E10" s="4"/>
      <c r="F10" s="5"/>
      <c r="G10" s="4"/>
      <c r="H10" s="5"/>
      <c r="I10" s="4"/>
      <c r="J10" s="5"/>
      <c r="K10" s="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3" t="s">
        <v>8</v>
      </c>
      <c r="B11" s="3"/>
      <c r="C11" s="4">
        <v>900.0</v>
      </c>
      <c r="D11" s="5"/>
      <c r="E11" s="4"/>
      <c r="F11" s="5"/>
      <c r="G11" s="4"/>
      <c r="H11" s="5"/>
      <c r="I11" s="4"/>
      <c r="J11" s="5"/>
      <c r="K11" s="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7" t="s">
        <v>9</v>
      </c>
      <c r="B12" s="7"/>
      <c r="C12" s="10">
        <f>12*C9+C11</f>
        <v>19500</v>
      </c>
      <c r="D12" s="8"/>
      <c r="E12" s="10"/>
      <c r="F12" s="8"/>
      <c r="G12" s="10"/>
      <c r="H12" s="8"/>
      <c r="I12" s="10"/>
      <c r="J12" s="8"/>
      <c r="K12" s="10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3"/>
      <c r="B13" s="3"/>
      <c r="C13" s="4"/>
      <c r="D13" s="5"/>
      <c r="E13" s="4"/>
      <c r="F13" s="5"/>
      <c r="G13" s="4"/>
      <c r="H13" s="5"/>
      <c r="I13" s="4"/>
      <c r="J13" s="5"/>
      <c r="K13" s="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3" t="s">
        <v>10</v>
      </c>
      <c r="B14" s="3"/>
      <c r="C14" s="4">
        <v>1250.0</v>
      </c>
      <c r="D14" s="5"/>
      <c r="E14" s="4"/>
      <c r="F14" s="5"/>
      <c r="G14" s="4"/>
      <c r="H14" s="5"/>
      <c r="I14" s="4"/>
      <c r="J14" s="5"/>
      <c r="K14" s="4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3" t="s">
        <v>11</v>
      </c>
      <c r="B15" s="3"/>
      <c r="C15" s="4">
        <f>12*C14</f>
        <v>15000</v>
      </c>
      <c r="D15" s="5"/>
      <c r="E15" s="4"/>
      <c r="F15" s="5"/>
      <c r="G15" s="4"/>
      <c r="H15" s="5"/>
      <c r="I15" s="4"/>
      <c r="J15" s="5"/>
      <c r="K15" s="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3" t="s">
        <v>12</v>
      </c>
      <c r="B16" s="3"/>
      <c r="C16" s="4">
        <v>800.0</v>
      </c>
      <c r="D16" s="5"/>
      <c r="E16" s="4"/>
      <c r="F16" s="5"/>
      <c r="G16" s="4"/>
      <c r="H16" s="5"/>
      <c r="I16" s="4"/>
      <c r="J16" s="5"/>
      <c r="K16" s="4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7" t="s">
        <v>13</v>
      </c>
      <c r="B17" s="8"/>
      <c r="C17" s="11">
        <f>C15+C16</f>
        <v>15800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3"/>
      <c r="B18" s="5"/>
      <c r="C18" s="3"/>
      <c r="D18" s="5"/>
      <c r="E18" s="3"/>
      <c r="F18" s="5"/>
      <c r="G18" s="3"/>
      <c r="H18" s="5"/>
      <c r="I18" s="3"/>
      <c r="J18" s="5"/>
      <c r="K18" s="3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1" t="s">
        <v>0</v>
      </c>
      <c r="B19" s="2"/>
      <c r="C19" s="1">
        <v>2025.0</v>
      </c>
      <c r="D19" s="2"/>
      <c r="E19" s="1">
        <v>2026.0</v>
      </c>
      <c r="F19" s="2"/>
      <c r="G19" s="1">
        <v>2027.0</v>
      </c>
      <c r="H19" s="2"/>
      <c r="I19" s="1"/>
      <c r="J19" s="2"/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3"/>
      <c r="B20" s="3"/>
      <c r="C20" s="4" t="s">
        <v>14</v>
      </c>
      <c r="D20" s="5"/>
      <c r="E20" s="4" t="s">
        <v>14</v>
      </c>
      <c r="F20" s="5"/>
      <c r="G20" s="4" t="s">
        <v>15</v>
      </c>
      <c r="H20" s="5"/>
      <c r="I20" s="4"/>
      <c r="J20" s="5"/>
      <c r="K20" s="4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12"/>
      <c r="B21" s="13"/>
      <c r="C21" s="14"/>
      <c r="D21" s="15"/>
      <c r="E21" s="16"/>
      <c r="F21" s="17"/>
      <c r="G21" s="14"/>
      <c r="H21" s="17"/>
      <c r="I21" s="14"/>
      <c r="J21" s="17"/>
      <c r="K21" s="14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>
      <c r="A22" s="12"/>
      <c r="B22" s="13"/>
      <c r="C22" s="14"/>
      <c r="D22" s="15" t="s">
        <v>16</v>
      </c>
      <c r="E22" s="16">
        <f>IFERROR(__xludf.DUMMYFUNCTION("GOOGLEFINANCE(""TSLA"")"),449.72)</f>
        <v>449.72</v>
      </c>
      <c r="F22" s="17"/>
      <c r="G22" s="14" t="s">
        <v>17</v>
      </c>
      <c r="H22" s="17"/>
      <c r="I22" s="14"/>
      <c r="J22" s="17"/>
      <c r="K22" s="14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>
      <c r="A23" s="3" t="s">
        <v>18</v>
      </c>
      <c r="B23" s="7" t="s">
        <v>19</v>
      </c>
      <c r="C23" s="4"/>
      <c r="D23" s="18" t="s">
        <v>20</v>
      </c>
      <c r="E23" s="19">
        <v>455.0</v>
      </c>
      <c r="F23" s="5"/>
      <c r="G23" s="4">
        <v>750.0</v>
      </c>
      <c r="H23" s="5"/>
      <c r="I23" s="4"/>
      <c r="J23" s="5"/>
      <c r="K23" s="4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3"/>
      <c r="B24" s="3"/>
      <c r="C24" s="4"/>
      <c r="D24" s="5"/>
      <c r="E24" s="4"/>
      <c r="F24" s="5"/>
      <c r="G24" s="4"/>
      <c r="H24" s="5"/>
      <c r="I24" s="4"/>
      <c r="J24" s="5"/>
      <c r="K24" s="4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3"/>
      <c r="B25" s="20"/>
      <c r="C25" s="21"/>
      <c r="D25" s="5"/>
      <c r="E25" s="22"/>
      <c r="F25" s="5"/>
      <c r="G25" s="22"/>
      <c r="H25" s="5"/>
      <c r="I25" s="22"/>
      <c r="J25" s="5"/>
      <c r="K25" s="22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3" t="s">
        <v>21</v>
      </c>
      <c r="B26" s="20"/>
      <c r="C26" s="21">
        <v>228000.0</v>
      </c>
      <c r="D26" s="5"/>
      <c r="E26" s="22">
        <f>(E23*0.7*1000) +2950</f>
        <v>321450</v>
      </c>
      <c r="F26" s="5"/>
      <c r="G26" s="22">
        <f>(G23*0.7*1000)+5900</f>
        <v>530900</v>
      </c>
      <c r="H26" s="5"/>
      <c r="I26" s="22"/>
      <c r="J26" s="5"/>
      <c r="K26" s="22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3"/>
      <c r="B27" s="3"/>
      <c r="C27" s="23"/>
      <c r="D27" s="24"/>
      <c r="E27" s="23"/>
      <c r="F27" s="24"/>
      <c r="G27" s="23"/>
      <c r="H27" s="24"/>
      <c r="I27" s="23"/>
      <c r="J27" s="24"/>
      <c r="K27" s="23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3" t="s">
        <v>22</v>
      </c>
      <c r="B28" s="3"/>
      <c r="C28" s="23"/>
      <c r="D28" s="24"/>
      <c r="E28" s="23">
        <f>E26*0.85</f>
        <v>273232.5</v>
      </c>
      <c r="F28" s="24"/>
      <c r="G28" s="23">
        <f>G26*0.85</f>
        <v>451265</v>
      </c>
      <c r="H28" s="24"/>
      <c r="I28" s="23"/>
      <c r="J28" s="24"/>
      <c r="K28" s="23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3"/>
      <c r="B29" s="3"/>
      <c r="C29" s="23"/>
      <c r="D29" s="24"/>
      <c r="E29" s="23"/>
      <c r="F29" s="24"/>
      <c r="G29" s="23"/>
      <c r="H29" s="24"/>
      <c r="I29" s="23"/>
      <c r="J29" s="24"/>
      <c r="K29" s="23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3" t="s">
        <v>23</v>
      </c>
      <c r="B30" s="20"/>
      <c r="C30" s="23">
        <f>C26*0.9</f>
        <v>205200</v>
      </c>
      <c r="D30" s="24"/>
      <c r="E30" s="23">
        <f>E28</f>
        <v>273232.5</v>
      </c>
      <c r="F30" s="24"/>
      <c r="G30" s="23">
        <f>G28</f>
        <v>451265</v>
      </c>
      <c r="H30" s="24"/>
      <c r="I30" s="23"/>
      <c r="J30" s="24"/>
      <c r="K30" s="23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3"/>
      <c r="B31" s="3"/>
      <c r="C31" s="23"/>
      <c r="D31" s="24"/>
      <c r="E31" s="23"/>
      <c r="F31" s="24"/>
      <c r="G31" s="23"/>
      <c r="H31" s="24"/>
      <c r="I31" s="23"/>
      <c r="J31" s="24"/>
      <c r="K31" s="23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3">
      <c r="A33" s="25"/>
      <c r="B33" s="26"/>
      <c r="C33" s="25"/>
      <c r="D33" s="26"/>
      <c r="E33" s="25"/>
      <c r="F33" s="26"/>
      <c r="G33" s="25"/>
      <c r="H33" s="26"/>
      <c r="I33" s="25"/>
      <c r="J33" s="26"/>
      <c r="K33" s="25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>
      <c r="A34" s="3"/>
      <c r="B34" s="5"/>
      <c r="C34" s="3"/>
      <c r="D34" s="5"/>
      <c r="E34" s="3"/>
      <c r="F34" s="5"/>
      <c r="G34" s="3"/>
      <c r="H34" s="5"/>
      <c r="I34" s="3"/>
      <c r="J34" s="5"/>
      <c r="K34" s="3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7" t="s">
        <v>24</v>
      </c>
      <c r="B35" s="5"/>
      <c r="C35" s="3"/>
      <c r="D35" s="5"/>
      <c r="E35" s="3"/>
      <c r="F35" s="5"/>
      <c r="G35" s="3"/>
      <c r="H35" s="5"/>
      <c r="I35" s="3"/>
      <c r="J35" s="5"/>
      <c r="K35" s="3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3"/>
      <c r="B36" s="5"/>
      <c r="C36" s="3"/>
      <c r="D36" s="5"/>
      <c r="E36" s="3"/>
      <c r="F36" s="5"/>
      <c r="G36" s="3"/>
      <c r="H36" s="5"/>
      <c r="I36" s="3"/>
      <c r="J36" s="5"/>
      <c r="K36" s="3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1" t="s">
        <v>0</v>
      </c>
      <c r="B37" s="2"/>
      <c r="C37" s="1">
        <v>2025.0</v>
      </c>
      <c r="D37" s="2"/>
      <c r="E37" s="1">
        <v>2026.0</v>
      </c>
      <c r="F37" s="2"/>
      <c r="G37" s="1">
        <v>2027.0</v>
      </c>
      <c r="H37" s="2"/>
      <c r="I37" s="1"/>
      <c r="J37" s="2"/>
      <c r="K37" s="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3"/>
      <c r="B38" s="5"/>
      <c r="C38" s="18"/>
      <c r="D38" s="27"/>
      <c r="E38" s="18"/>
      <c r="F38" s="5"/>
      <c r="G38" s="18"/>
      <c r="H38" s="5"/>
      <c r="I38" s="18"/>
      <c r="J38" s="5"/>
      <c r="K38" s="18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3" t="s">
        <v>25</v>
      </c>
      <c r="B39" s="5"/>
      <c r="C39" s="18" t="s">
        <v>26</v>
      </c>
      <c r="D39" s="27"/>
      <c r="E39" s="18" t="s">
        <v>27</v>
      </c>
      <c r="F39" s="5"/>
      <c r="G39" s="18" t="s">
        <v>27</v>
      </c>
      <c r="H39" s="5"/>
      <c r="I39" s="18"/>
      <c r="J39" s="5"/>
      <c r="K39" s="18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3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3" t="s">
        <v>28</v>
      </c>
      <c r="B41" s="5"/>
      <c r="C41" s="24">
        <f>C30</f>
        <v>205200</v>
      </c>
      <c r="D41" s="5"/>
      <c r="E41" s="24">
        <f>E30</f>
        <v>273232.5</v>
      </c>
      <c r="F41" s="5"/>
      <c r="G41" s="24">
        <f>G30</f>
        <v>451265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3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3" t="s">
        <v>29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3" t="s">
        <v>30</v>
      </c>
      <c r="B45" s="5"/>
      <c r="C45" s="28">
        <v>57000.0</v>
      </c>
      <c r="D45" s="5"/>
      <c r="E45" s="28">
        <v>59357.0</v>
      </c>
      <c r="F45" s="5"/>
      <c r="G45" s="28">
        <v>55000.0</v>
      </c>
      <c r="H45" s="5"/>
      <c r="I45" s="28"/>
      <c r="J45" s="5"/>
      <c r="K45" s="2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3" t="s">
        <v>31</v>
      </c>
      <c r="B46" s="5"/>
      <c r="C46" s="29">
        <v>0.0588</v>
      </c>
      <c r="D46" s="5"/>
      <c r="E46" s="29">
        <v>0.06</v>
      </c>
      <c r="F46" s="5"/>
      <c r="G46" s="29">
        <v>0.06</v>
      </c>
      <c r="H46" s="5"/>
      <c r="I46" s="29"/>
      <c r="J46" s="5"/>
      <c r="K46" s="29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3" t="s">
        <v>32</v>
      </c>
      <c r="B47" s="5"/>
      <c r="C47" s="30">
        <v>0.36</v>
      </c>
      <c r="D47" s="5"/>
      <c r="E47" s="30">
        <v>0.36</v>
      </c>
      <c r="F47" s="5"/>
      <c r="G47" s="30">
        <v>0.36</v>
      </c>
      <c r="H47" s="5"/>
      <c r="I47" s="30"/>
      <c r="J47" s="5"/>
      <c r="K47" s="30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3" t="s">
        <v>33</v>
      </c>
      <c r="B49" s="5"/>
      <c r="C49" s="3">
        <v>1250.0</v>
      </c>
      <c r="D49" s="5"/>
      <c r="E49" s="28">
        <v>1350.0</v>
      </c>
      <c r="F49" s="5"/>
      <c r="G49" s="28">
        <v>1400.0</v>
      </c>
      <c r="H49" s="5"/>
      <c r="I49" s="28"/>
      <c r="J49" s="5"/>
      <c r="K49" s="2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3" t="s">
        <v>34</v>
      </c>
      <c r="B50" s="5"/>
      <c r="C50" s="3">
        <v>1400.0</v>
      </c>
      <c r="D50" s="5"/>
      <c r="E50" s="28">
        <v>1475.0</v>
      </c>
      <c r="F50" s="5"/>
      <c r="G50" s="28">
        <v>1500.0</v>
      </c>
      <c r="H50" s="5"/>
      <c r="I50" s="28"/>
      <c r="J50" s="5"/>
      <c r="K50" s="2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3"/>
      <c r="B51" s="5"/>
      <c r="C51" s="3"/>
      <c r="D51" s="5"/>
      <c r="E51" s="28"/>
      <c r="F51" s="5"/>
      <c r="G51" s="28"/>
      <c r="H51" s="5"/>
      <c r="I51" s="28"/>
      <c r="J51" s="5"/>
      <c r="K51" s="2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3" t="s">
        <v>35</v>
      </c>
      <c r="B52" s="5"/>
      <c r="C52" s="5">
        <f t="shared" ref="C52:C53" si="1">C49*12</f>
        <v>15000</v>
      </c>
      <c r="D52" s="5"/>
      <c r="E52" s="31">
        <f t="shared" ref="E52:E53" si="2">E49*12</f>
        <v>16200</v>
      </c>
      <c r="F52" s="5"/>
      <c r="G52" s="31">
        <f t="shared" ref="G52:G53" si="3">G49*12</f>
        <v>16800</v>
      </c>
      <c r="H52" s="5"/>
      <c r="I52" s="31"/>
      <c r="J52" s="5"/>
      <c r="K52" s="31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3" t="s">
        <v>36</v>
      </c>
      <c r="B53" s="5"/>
      <c r="C53" s="31">
        <f t="shared" si="1"/>
        <v>16800</v>
      </c>
      <c r="D53" s="5"/>
      <c r="E53" s="31">
        <f t="shared" si="2"/>
        <v>17700</v>
      </c>
      <c r="F53" s="5"/>
      <c r="G53" s="31">
        <f t="shared" si="3"/>
        <v>18000</v>
      </c>
      <c r="H53" s="5"/>
      <c r="I53" s="31"/>
      <c r="J53" s="5"/>
      <c r="K53" s="31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3"/>
      <c r="B54" s="5"/>
      <c r="C54" s="3"/>
      <c r="D54" s="5"/>
      <c r="E54" s="28"/>
      <c r="F54" s="5"/>
      <c r="G54" s="28"/>
      <c r="H54" s="5"/>
      <c r="I54" s="28"/>
      <c r="J54" s="5"/>
      <c r="K54" s="2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3" t="s">
        <v>37</v>
      </c>
      <c r="B55" s="5"/>
      <c r="C55" s="3">
        <v>800.0</v>
      </c>
      <c r="D55" s="5"/>
      <c r="E55" s="28">
        <v>1000.0</v>
      </c>
      <c r="F55" s="5"/>
      <c r="G55" s="28">
        <v>1000.0</v>
      </c>
      <c r="H55" s="5"/>
      <c r="I55" s="28"/>
      <c r="J55" s="5"/>
      <c r="K55" s="2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3" t="s">
        <v>38</v>
      </c>
      <c r="B56" s="5"/>
      <c r="C56" s="3">
        <v>1000.0</v>
      </c>
      <c r="D56" s="5"/>
      <c r="E56" s="28">
        <v>1200.0</v>
      </c>
      <c r="F56" s="5"/>
      <c r="G56" s="28">
        <v>1200.0</v>
      </c>
      <c r="H56" s="5"/>
      <c r="I56" s="28"/>
      <c r="J56" s="5"/>
      <c r="K56" s="2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3"/>
      <c r="B57" s="5"/>
      <c r="C57" s="5"/>
      <c r="D57" s="5"/>
      <c r="E57" s="31"/>
      <c r="F57" s="5"/>
      <c r="G57" s="31"/>
      <c r="H57" s="5"/>
      <c r="I57" s="31"/>
      <c r="J57" s="5"/>
      <c r="K57" s="31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3" t="s">
        <v>39</v>
      </c>
      <c r="B58" s="5"/>
      <c r="C58" s="5">
        <f t="shared" ref="C58:C59" si="4">C52+C55</f>
        <v>15800</v>
      </c>
      <c r="D58" s="5"/>
      <c r="E58" s="31">
        <f t="shared" ref="E58:E59" si="5">E52+E55</f>
        <v>17200</v>
      </c>
      <c r="F58" s="5"/>
      <c r="G58" s="31">
        <f t="shared" ref="G58:G59" si="6">G52+G55</f>
        <v>17800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3" t="s">
        <v>40</v>
      </c>
      <c r="B59" s="5"/>
      <c r="C59" s="28">
        <f t="shared" si="4"/>
        <v>17800</v>
      </c>
      <c r="D59" s="5"/>
      <c r="E59" s="28">
        <f t="shared" si="5"/>
        <v>18900</v>
      </c>
      <c r="F59" s="5"/>
      <c r="G59" s="28">
        <f t="shared" si="6"/>
        <v>19200</v>
      </c>
      <c r="H59" s="5"/>
      <c r="I59" s="3"/>
      <c r="J59" s="5"/>
      <c r="K59" s="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3" t="s">
        <v>41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3" t="s">
        <v>42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3"/>
      <c r="B64" s="5"/>
      <c r="C64" s="3"/>
      <c r="D64" s="5"/>
      <c r="E64" s="3"/>
      <c r="F64" s="5"/>
      <c r="G64" s="3"/>
      <c r="H64" s="5"/>
      <c r="I64" s="3"/>
      <c r="J64" s="5"/>
      <c r="K64" s="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3" t="s">
        <v>43</v>
      </c>
      <c r="B65" s="5"/>
      <c r="C65" s="28">
        <f>C137</f>
        <v>3187.942656</v>
      </c>
      <c r="D65" s="5"/>
      <c r="E65" s="28">
        <f>E137</f>
        <v>1481.078799</v>
      </c>
      <c r="F65" s="5"/>
      <c r="G65" s="28">
        <f>G137</f>
        <v>1124.66397</v>
      </c>
      <c r="H65" s="5"/>
      <c r="I65" s="3"/>
      <c r="J65" s="5"/>
      <c r="K65" s="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3" t="s">
        <v>44</v>
      </c>
      <c r="B66" s="5"/>
      <c r="C66" s="3">
        <v>0.0</v>
      </c>
      <c r="D66" s="5"/>
      <c r="E66" s="28">
        <v>2067.0</v>
      </c>
      <c r="F66" s="5"/>
      <c r="G66" s="28">
        <v>2067.0</v>
      </c>
      <c r="H66" s="5"/>
      <c r="I66" s="32"/>
      <c r="J66" s="8"/>
      <c r="K66" s="32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3" t="s">
        <v>45</v>
      </c>
      <c r="B67" s="5"/>
      <c r="C67" s="3">
        <v>530.0</v>
      </c>
      <c r="D67" s="5"/>
      <c r="E67" s="28">
        <v>540.0</v>
      </c>
      <c r="F67" s="5"/>
      <c r="G67" s="28">
        <v>540.0</v>
      </c>
      <c r="H67" s="5"/>
      <c r="I67" s="28"/>
      <c r="J67" s="5"/>
      <c r="K67" s="2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3" t="s">
        <v>46</v>
      </c>
      <c r="B69" s="5"/>
      <c r="C69" s="31">
        <f>C65+C66+C67</f>
        <v>3717.942656</v>
      </c>
      <c r="D69" s="5"/>
      <c r="E69" s="31">
        <f>E65+E66+E67</f>
        <v>4088.078799</v>
      </c>
      <c r="F69" s="5"/>
      <c r="G69" s="31">
        <f>G65+G66+G67</f>
        <v>3731.66397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3" t="s">
        <v>47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3" t="s">
        <v>48</v>
      </c>
      <c r="B73" s="5"/>
      <c r="C73" s="29">
        <v>0.0526</v>
      </c>
      <c r="D73" s="5"/>
      <c r="E73" s="29">
        <v>0.0526</v>
      </c>
      <c r="F73" s="5"/>
      <c r="G73" s="29">
        <v>0.0526</v>
      </c>
      <c r="H73" s="5"/>
      <c r="I73" s="29"/>
      <c r="J73" s="5"/>
      <c r="K73" s="29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</row>
    <row r="76">
      <c r="A76" s="3" t="s">
        <v>49</v>
      </c>
      <c r="B76" s="5"/>
      <c r="C76" s="18" t="s">
        <v>50</v>
      </c>
      <c r="D76" s="5"/>
      <c r="E76" s="18" t="s">
        <v>50</v>
      </c>
      <c r="F76" s="5"/>
      <c r="G76" s="18" t="s">
        <v>50</v>
      </c>
      <c r="H76" s="5"/>
      <c r="I76" s="18"/>
      <c r="J76" s="5"/>
      <c r="K76" s="18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3" t="s">
        <v>51</v>
      </c>
      <c r="B77" s="5"/>
      <c r="C77" s="18" t="s">
        <v>1</v>
      </c>
      <c r="D77" s="5"/>
      <c r="E77" s="18" t="s">
        <v>1</v>
      </c>
      <c r="F77" s="5"/>
      <c r="G77" s="18" t="s">
        <v>1</v>
      </c>
      <c r="H77" s="5"/>
      <c r="I77" s="18"/>
      <c r="J77" s="5"/>
      <c r="K77" s="18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3" t="s">
        <v>0</v>
      </c>
      <c r="B78" s="5"/>
      <c r="C78" s="3">
        <v>2025.0</v>
      </c>
      <c r="D78" s="5"/>
      <c r="E78" s="3">
        <v>2026.0</v>
      </c>
      <c r="F78" s="5"/>
      <c r="G78" s="3">
        <v>2027.0</v>
      </c>
      <c r="H78" s="5"/>
      <c r="I78" s="3"/>
      <c r="J78" s="5"/>
      <c r="K78" s="3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3"/>
      <c r="B79" s="5"/>
      <c r="C79" s="28"/>
      <c r="D79" s="5"/>
      <c r="E79" s="28"/>
      <c r="F79" s="5"/>
      <c r="G79" s="28"/>
      <c r="H79" s="5"/>
      <c r="I79" s="28"/>
      <c r="J79" s="5"/>
      <c r="K79" s="28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3" t="s">
        <v>52</v>
      </c>
      <c r="B80" s="5"/>
      <c r="C80" s="28">
        <f>C30</f>
        <v>205200</v>
      </c>
      <c r="D80" s="5"/>
      <c r="E80" s="28">
        <f>E30</f>
        <v>273232.5</v>
      </c>
      <c r="F80" s="5"/>
      <c r="G80" s="28">
        <f>G30</f>
        <v>451265</v>
      </c>
      <c r="H80" s="5"/>
      <c r="I80" s="28"/>
      <c r="J80" s="5"/>
      <c r="K80" s="28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3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3" t="s">
        <v>53</v>
      </c>
      <c r="B82" s="5"/>
      <c r="C82" s="31">
        <f>C80-C45</f>
        <v>148200</v>
      </c>
      <c r="D82" s="5"/>
      <c r="E82" s="31">
        <f>E80-E45</f>
        <v>213875.5</v>
      </c>
      <c r="F82" s="5"/>
      <c r="G82" s="31">
        <f>G80-G45</f>
        <v>396265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3" t="s">
        <v>54</v>
      </c>
      <c r="B83" s="5"/>
      <c r="C83" s="34">
        <f>C82*C46</f>
        <v>8714.16</v>
      </c>
      <c r="D83" s="5"/>
      <c r="E83" s="34">
        <f>E82*E46</f>
        <v>12832.53</v>
      </c>
      <c r="F83" s="5"/>
      <c r="G83" s="34">
        <f>G82*G46</f>
        <v>23775.9</v>
      </c>
      <c r="H83" s="5"/>
      <c r="I83" s="34"/>
      <c r="J83" s="5"/>
      <c r="K83" s="34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35"/>
      <c r="B84" s="36"/>
      <c r="C84" s="37"/>
      <c r="D84" s="36"/>
      <c r="E84" s="37"/>
      <c r="F84" s="36"/>
      <c r="G84" s="37"/>
      <c r="H84" s="36"/>
      <c r="I84" s="37"/>
      <c r="J84" s="36"/>
      <c r="K84" s="37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</row>
    <row r="85">
      <c r="A85" s="35" t="s">
        <v>55</v>
      </c>
      <c r="B85" s="36"/>
      <c r="C85" s="37">
        <f>C47*C83</f>
        <v>3137.0976</v>
      </c>
      <c r="D85" s="36"/>
      <c r="E85" s="37">
        <f>E47*E83</f>
        <v>4619.7108</v>
      </c>
      <c r="F85" s="36"/>
      <c r="G85" s="37">
        <f>G47*G83</f>
        <v>8559.324</v>
      </c>
      <c r="H85" s="36"/>
      <c r="I85" s="37"/>
      <c r="J85" s="36"/>
      <c r="K85" s="37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3" t="s">
        <v>56</v>
      </c>
      <c r="B87" s="5"/>
      <c r="C87" s="5">
        <f t="shared" ref="C87:C88" si="7">C58</f>
        <v>15800</v>
      </c>
      <c r="D87" s="5"/>
      <c r="E87" s="31">
        <f t="shared" ref="E87:E88" si="8">E58</f>
        <v>17200</v>
      </c>
      <c r="F87" s="5"/>
      <c r="G87" s="31">
        <f t="shared" ref="G87:G88" si="9">G58</f>
        <v>17800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3" t="s">
        <v>57</v>
      </c>
      <c r="B88" s="5"/>
      <c r="C88" s="31">
        <f t="shared" si="7"/>
        <v>17800</v>
      </c>
      <c r="D88" s="5"/>
      <c r="E88" s="31">
        <f t="shared" si="8"/>
        <v>18900</v>
      </c>
      <c r="F88" s="5"/>
      <c r="G88" s="31">
        <f t="shared" si="9"/>
        <v>19200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3" t="s">
        <v>58</v>
      </c>
      <c r="B89" s="3" t="s">
        <v>59</v>
      </c>
      <c r="C89" s="31">
        <f>C88-C87</f>
        <v>2000</v>
      </c>
      <c r="D89" s="5"/>
      <c r="E89" s="31">
        <f>E88-E87</f>
        <v>1700</v>
      </c>
      <c r="F89" s="5"/>
      <c r="G89" s="31">
        <f>G88-G87</f>
        <v>1400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3" t="s">
        <v>60</v>
      </c>
      <c r="B91" s="5"/>
      <c r="C91" s="34">
        <f>C73*C59</f>
        <v>936.28</v>
      </c>
      <c r="D91" s="5"/>
      <c r="E91" s="34">
        <f>E73*E59</f>
        <v>994.14</v>
      </c>
      <c r="F91" s="5"/>
      <c r="G91" s="34">
        <f>G73*G59</f>
        <v>1009.92</v>
      </c>
      <c r="H91" s="5"/>
      <c r="I91" s="34"/>
      <c r="J91" s="5"/>
      <c r="K91" s="34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35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</row>
    <row r="93">
      <c r="A93" s="3" t="s">
        <v>61</v>
      </c>
      <c r="B93" s="5"/>
      <c r="C93" s="31">
        <f>C89-C91</f>
        <v>1063.72</v>
      </c>
      <c r="D93" s="5"/>
      <c r="E93" s="31">
        <f>E89-E91</f>
        <v>705.86</v>
      </c>
      <c r="F93" s="5"/>
      <c r="G93" s="31">
        <f>G89-G91</f>
        <v>390.08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3" t="s">
        <v>62</v>
      </c>
      <c r="B96" s="5"/>
      <c r="C96" s="31">
        <f>C88+C83</f>
        <v>26514.16</v>
      </c>
      <c r="D96" s="5"/>
      <c r="E96" s="31">
        <f>E88+E83</f>
        <v>31732.53</v>
      </c>
      <c r="F96" s="5"/>
      <c r="G96" s="31">
        <f>G88+G83</f>
        <v>42975.9</v>
      </c>
      <c r="H96" s="3" t="s">
        <v>63</v>
      </c>
      <c r="I96" s="8"/>
      <c r="J96" s="8"/>
      <c r="K96" s="8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3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3" t="s">
        <v>64</v>
      </c>
      <c r="B98" s="5"/>
      <c r="C98" s="31">
        <f>-C69</f>
        <v>-3717.942656</v>
      </c>
      <c r="D98" s="5"/>
      <c r="E98" s="31">
        <f>-E69</f>
        <v>-4088.078799</v>
      </c>
      <c r="F98" s="5"/>
      <c r="G98" s="31">
        <f>-G69</f>
        <v>-3731.66397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3"/>
      <c r="B99" s="5"/>
      <c r="C99" s="3"/>
      <c r="D99" s="5"/>
      <c r="E99" s="3"/>
      <c r="F99" s="5"/>
      <c r="G99" s="3"/>
      <c r="H99" s="5"/>
      <c r="I99" s="3"/>
      <c r="J99" s="5"/>
      <c r="K99" s="3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38" t="s">
        <v>65</v>
      </c>
      <c r="B100" s="39"/>
      <c r="C100" s="40">
        <f>C85+C98</f>
        <v>-580.845056</v>
      </c>
      <c r="D100" s="39"/>
      <c r="E100" s="41">
        <f>E85+E98</f>
        <v>531.632001</v>
      </c>
      <c r="F100" s="39"/>
      <c r="G100" s="41">
        <f>G85+G98</f>
        <v>4827.66003</v>
      </c>
      <c r="H100" s="39"/>
      <c r="I100" s="42"/>
      <c r="J100" s="39"/>
      <c r="K100" s="42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</row>
    <row r="101">
      <c r="A101" s="3"/>
      <c r="B101" s="5"/>
      <c r="C101" s="3"/>
      <c r="D101" s="5"/>
      <c r="E101" s="3"/>
      <c r="F101" s="5"/>
      <c r="G101" s="3"/>
      <c r="H101" s="5"/>
      <c r="I101" s="3"/>
      <c r="J101" s="5"/>
      <c r="K101" s="3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3"/>
      <c r="B102" s="5"/>
      <c r="C102" s="3"/>
      <c r="D102" s="5"/>
      <c r="E102" s="3"/>
      <c r="F102" s="5"/>
      <c r="G102" s="3"/>
      <c r="H102" s="5"/>
      <c r="I102" s="3"/>
      <c r="J102" s="5"/>
      <c r="K102" s="3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43"/>
      <c r="B103" s="33"/>
      <c r="C103" s="43"/>
      <c r="D103" s="33"/>
      <c r="E103" s="43"/>
      <c r="F103" s="33"/>
      <c r="G103" s="43"/>
      <c r="H103" s="33"/>
      <c r="I103" s="43"/>
      <c r="J103" s="33"/>
      <c r="K103" s="4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</row>
    <row r="104">
      <c r="A104" s="3"/>
      <c r="B104" s="5"/>
      <c r="C104" s="18" t="s">
        <v>1</v>
      </c>
      <c r="D104" s="27"/>
      <c r="E104" s="18" t="s">
        <v>1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3" t="s">
        <v>66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3" t="s">
        <v>67</v>
      </c>
      <c r="B106" s="5"/>
      <c r="C106" s="37">
        <f>C85</f>
        <v>3137.0976</v>
      </c>
      <c r="D106" s="5"/>
      <c r="E106" s="37">
        <f>E85</f>
        <v>4619.7108</v>
      </c>
      <c r="F106" s="5"/>
      <c r="G106" s="37">
        <f>G85</f>
        <v>8559.324</v>
      </c>
      <c r="H106" s="5"/>
      <c r="I106" s="36"/>
      <c r="J106" s="5"/>
      <c r="K106" s="36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3" t="s">
        <v>68</v>
      </c>
      <c r="B107" s="5"/>
      <c r="C107" s="35">
        <v>0.0</v>
      </c>
      <c r="D107" s="5"/>
      <c r="E107" s="35">
        <v>0.0</v>
      </c>
      <c r="F107" s="5"/>
      <c r="G107" s="35">
        <v>0.0</v>
      </c>
      <c r="H107" s="5"/>
      <c r="I107" s="35"/>
      <c r="J107" s="5"/>
      <c r="K107" s="3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3" t="s">
        <v>46</v>
      </c>
      <c r="B108" s="5"/>
      <c r="C108" s="44">
        <f>C69</f>
        <v>3717.942656</v>
      </c>
      <c r="D108" s="5"/>
      <c r="E108" s="44">
        <f>E69</f>
        <v>4088.078799</v>
      </c>
      <c r="F108" s="5"/>
      <c r="G108" s="44">
        <f>G69</f>
        <v>3731.66397</v>
      </c>
      <c r="H108" s="5"/>
      <c r="I108" s="20"/>
      <c r="J108" s="5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3" t="s">
        <v>69</v>
      </c>
      <c r="B110" s="5"/>
      <c r="C110" s="45">
        <f>C106-C108</f>
        <v>-580.845056</v>
      </c>
      <c r="D110" s="5"/>
      <c r="E110" s="37">
        <f>E106-E108</f>
        <v>531.632001</v>
      </c>
      <c r="F110" s="5"/>
      <c r="G110" s="37">
        <f>G106-G108</f>
        <v>4827.66003</v>
      </c>
      <c r="H110" s="5"/>
      <c r="I110" s="36"/>
      <c r="J110" s="5"/>
      <c r="K110" s="36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3" t="s">
        <v>70</v>
      </c>
      <c r="B111" s="5"/>
      <c r="C111" s="5"/>
      <c r="D111" s="5"/>
      <c r="E111" s="5"/>
      <c r="F111" s="5"/>
      <c r="G111" s="3">
        <v>0.0</v>
      </c>
      <c r="H111" s="5"/>
      <c r="I111" s="3"/>
      <c r="J111" s="5"/>
      <c r="K111" s="3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3"/>
      <c r="B112" s="5"/>
      <c r="C112" s="3"/>
      <c r="D112" s="5"/>
      <c r="E112" s="3"/>
      <c r="F112" s="5"/>
      <c r="G112" s="3"/>
      <c r="H112" s="5"/>
      <c r="I112" s="3"/>
      <c r="J112" s="5"/>
      <c r="K112" s="3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3"/>
      <c r="B113" s="5"/>
      <c r="C113" s="3"/>
      <c r="D113" s="5"/>
      <c r="E113" s="3"/>
      <c r="F113" s="5"/>
      <c r="G113" s="3"/>
      <c r="H113" s="5"/>
      <c r="I113" s="3"/>
      <c r="J113" s="5"/>
      <c r="K113" s="3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1" t="s">
        <v>0</v>
      </c>
      <c r="B114" s="2"/>
      <c r="C114" s="1">
        <v>2025.0</v>
      </c>
      <c r="D114" s="2"/>
      <c r="E114" s="1">
        <v>2026.0</v>
      </c>
      <c r="F114" s="2"/>
      <c r="G114" s="1">
        <v>2027.0</v>
      </c>
      <c r="H114" s="2"/>
      <c r="I114" s="1"/>
      <c r="J114" s="2"/>
      <c r="K114" s="1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3" t="s">
        <v>71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3" t="s">
        <v>72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3" t="s">
        <v>51</v>
      </c>
      <c r="B118" s="5"/>
      <c r="C118" s="18" t="s">
        <v>1</v>
      </c>
      <c r="D118" s="27"/>
      <c r="E118" s="18" t="s">
        <v>1</v>
      </c>
      <c r="F118" s="27"/>
      <c r="G118" s="18" t="s">
        <v>2</v>
      </c>
      <c r="H118" s="27"/>
      <c r="I118" s="18"/>
      <c r="J118" s="27"/>
      <c r="K118" s="18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35" t="s">
        <v>73</v>
      </c>
      <c r="B120" s="36"/>
      <c r="C120" s="37">
        <f>C85</f>
        <v>3137.0976</v>
      </c>
      <c r="D120" s="36"/>
      <c r="E120" s="37">
        <f>E85</f>
        <v>4619.7108</v>
      </c>
      <c r="F120" s="36"/>
      <c r="G120" s="37">
        <f>G85</f>
        <v>8559.324</v>
      </c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</row>
    <row r="121">
      <c r="A121" s="3" t="s">
        <v>74</v>
      </c>
      <c r="B121" s="5"/>
      <c r="C121" s="3">
        <v>0.0</v>
      </c>
      <c r="D121" s="5"/>
      <c r="E121" s="3">
        <v>0.0</v>
      </c>
      <c r="F121" s="5"/>
      <c r="G121" s="3">
        <v>0.0</v>
      </c>
      <c r="H121" s="5"/>
      <c r="I121" s="3"/>
      <c r="J121" s="5"/>
      <c r="K121" s="3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20" t="s">
        <v>75</v>
      </c>
      <c r="B122" s="46"/>
      <c r="C122" s="47">
        <f>-C69</f>
        <v>-3717.942656</v>
      </c>
      <c r="D122" s="46"/>
      <c r="E122" s="47">
        <f>-E69</f>
        <v>-4088.078799</v>
      </c>
      <c r="F122" s="46"/>
      <c r="G122" s="47">
        <f>-G69</f>
        <v>-3731.66397</v>
      </c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3" t="s">
        <v>76</v>
      </c>
      <c r="B124" s="5"/>
      <c r="C124" s="45">
        <f>C120+C122</f>
        <v>-580.845056</v>
      </c>
      <c r="D124" s="5"/>
      <c r="E124" s="37">
        <f>E120+E122</f>
        <v>531.632001</v>
      </c>
      <c r="F124" s="5"/>
      <c r="G124" s="37">
        <f>G120+G122</f>
        <v>4827.66003</v>
      </c>
      <c r="H124" s="5"/>
      <c r="I124" s="36"/>
      <c r="J124" s="5"/>
      <c r="K124" s="36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3" t="s">
        <v>70</v>
      </c>
      <c r="B125" s="5"/>
      <c r="C125" s="5"/>
      <c r="D125" s="5"/>
      <c r="E125" s="5"/>
      <c r="F125" s="5"/>
      <c r="G125" s="3">
        <v>0.0</v>
      </c>
      <c r="H125" s="5"/>
      <c r="I125" s="3"/>
      <c r="J125" s="5"/>
      <c r="K125" s="3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</row>
    <row r="128">
      <c r="A128" s="3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3"/>
      <c r="B129" s="3" t="s">
        <v>77</v>
      </c>
      <c r="C129" s="5"/>
      <c r="D129" s="3" t="s">
        <v>78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B130" s="18" t="s">
        <v>79</v>
      </c>
      <c r="C130" s="18">
        <v>2025.0</v>
      </c>
      <c r="D130" s="18" t="s">
        <v>80</v>
      </c>
      <c r="E130" s="18">
        <v>2026.0</v>
      </c>
      <c r="F130" s="5"/>
      <c r="G130" s="18">
        <v>2027.0</v>
      </c>
      <c r="H130" s="18"/>
      <c r="I130" s="18"/>
      <c r="J130" s="5"/>
      <c r="K130" s="18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48"/>
      <c r="B131" s="5"/>
      <c r="C131" s="4"/>
      <c r="D131" s="5"/>
      <c r="E131" s="4"/>
      <c r="F131" s="5"/>
      <c r="G131" s="4"/>
      <c r="H131" s="6"/>
      <c r="I131" s="4"/>
      <c r="J131" s="5"/>
      <c r="K131" s="4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48" t="s">
        <v>81</v>
      </c>
      <c r="B132" s="5"/>
      <c r="C132" s="4">
        <v>3068.0</v>
      </c>
      <c r="D132" s="5"/>
      <c r="E132" s="4">
        <v>1536.0</v>
      </c>
      <c r="F132" s="5"/>
      <c r="G132" s="4">
        <v>1536.0</v>
      </c>
      <c r="H132" s="4"/>
      <c r="I132" s="4"/>
      <c r="J132" s="5"/>
      <c r="K132" s="4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49" t="s">
        <v>82</v>
      </c>
      <c r="B133" s="46"/>
      <c r="C133" s="50">
        <f>C96</f>
        <v>26514.16</v>
      </c>
      <c r="D133" s="46"/>
      <c r="E133" s="50">
        <f>E96</f>
        <v>31732.53</v>
      </c>
      <c r="F133" s="46"/>
      <c r="G133" s="50">
        <f>G96</f>
        <v>42975.9</v>
      </c>
      <c r="H133" s="4"/>
      <c r="I133" s="50"/>
      <c r="J133" s="46"/>
      <c r="K133" s="50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</row>
    <row r="134">
      <c r="A134" s="48" t="s">
        <v>83</v>
      </c>
      <c r="B134" s="5"/>
      <c r="C134" s="4">
        <v>28406.0</v>
      </c>
      <c r="D134" s="5"/>
      <c r="E134" s="4">
        <v>30000.0</v>
      </c>
      <c r="F134" s="5"/>
      <c r="G134" s="4">
        <v>30000.0</v>
      </c>
      <c r="H134" s="4"/>
      <c r="I134" s="4"/>
      <c r="J134" s="5"/>
      <c r="K134" s="4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48" t="s">
        <v>84</v>
      </c>
      <c r="B135" s="5"/>
      <c r="C135" s="6">
        <f>C133-C134</f>
        <v>-1891.84</v>
      </c>
      <c r="D135" s="5"/>
      <c r="E135" s="6">
        <f>E133-E134</f>
        <v>1732.53</v>
      </c>
      <c r="F135" s="5"/>
      <c r="G135" s="6">
        <f>G133-G134</f>
        <v>12975.9</v>
      </c>
      <c r="H135" s="6"/>
      <c r="I135" s="6"/>
      <c r="J135" s="5"/>
      <c r="K135" s="6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48" t="s">
        <v>85</v>
      </c>
      <c r="B136" s="5"/>
      <c r="C136" s="6">
        <f>C135*6.34%</f>
        <v>-119.942656</v>
      </c>
      <c r="D136" s="5"/>
      <c r="E136" s="6">
        <f>E135*3.17%</f>
        <v>54.921201</v>
      </c>
      <c r="F136" s="5"/>
      <c r="G136" s="6">
        <f>G135*3.17%</f>
        <v>411.33603</v>
      </c>
      <c r="H136" s="6"/>
      <c r="I136" s="6"/>
      <c r="J136" s="5"/>
      <c r="K136" s="6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49" t="s">
        <v>86</v>
      </c>
      <c r="B137" s="46"/>
      <c r="C137" s="51">
        <f>C132-C136</f>
        <v>3187.942656</v>
      </c>
      <c r="D137" s="46"/>
      <c r="E137" s="51">
        <f>E132-E136</f>
        <v>1481.078799</v>
      </c>
      <c r="F137" s="20"/>
      <c r="G137" s="51">
        <f>G132-G136</f>
        <v>1124.66397</v>
      </c>
      <c r="H137" s="6"/>
      <c r="I137" s="51"/>
      <c r="J137" s="46"/>
      <c r="K137" s="51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3" t="s">
        <v>87</v>
      </c>
      <c r="B139" s="5"/>
      <c r="C139" s="3">
        <v>0.0</v>
      </c>
      <c r="D139" s="5"/>
      <c r="E139" s="37">
        <f>E124</f>
        <v>531.632001</v>
      </c>
      <c r="F139" s="36"/>
      <c r="G139" s="37">
        <f>G124</f>
        <v>4827.66003</v>
      </c>
      <c r="H139" s="36"/>
      <c r="I139" s="36"/>
      <c r="J139" s="5"/>
      <c r="K139" s="36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3" t="s">
        <v>88</v>
      </c>
      <c r="B140" s="5"/>
      <c r="C140" s="3">
        <v>0.0</v>
      </c>
      <c r="D140" s="5"/>
      <c r="E140" s="7">
        <v>0.0</v>
      </c>
      <c r="F140" s="8"/>
      <c r="G140" s="7">
        <v>0.0</v>
      </c>
      <c r="H140" s="8"/>
      <c r="I140" s="7"/>
      <c r="J140" s="8"/>
      <c r="K140" s="7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3" t="s">
        <v>89</v>
      </c>
      <c r="B141" s="5"/>
      <c r="C141" s="3">
        <v>0.0</v>
      </c>
      <c r="D141" s="5"/>
      <c r="E141" s="7">
        <v>0.0</v>
      </c>
      <c r="F141" s="8"/>
      <c r="G141" s="7">
        <v>0.0</v>
      </c>
      <c r="H141" s="8"/>
      <c r="I141" s="7"/>
      <c r="J141" s="8"/>
      <c r="K141" s="7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3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3" t="s">
        <v>90</v>
      </c>
      <c r="B143" s="5"/>
      <c r="C143" s="5"/>
      <c r="D143" s="5"/>
      <c r="E143" s="30">
        <v>0.15</v>
      </c>
      <c r="F143" s="5"/>
      <c r="G143" s="30">
        <v>0.15</v>
      </c>
      <c r="H143" s="5"/>
      <c r="I143" s="30"/>
      <c r="J143" s="5"/>
      <c r="K143" s="30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3" t="s">
        <v>91</v>
      </c>
      <c r="B144" s="5"/>
      <c r="C144" s="5"/>
      <c r="D144" s="5"/>
      <c r="E144" s="28">
        <v>10000.0</v>
      </c>
      <c r="F144" s="31"/>
      <c r="G144" s="28">
        <v>20000.0</v>
      </c>
      <c r="H144" s="31"/>
      <c r="I144" s="28"/>
      <c r="J144" s="31"/>
      <c r="K144" s="28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3" t="s">
        <v>92</v>
      </c>
      <c r="B145" s="5"/>
      <c r="C145" s="5"/>
      <c r="D145" s="5"/>
      <c r="E145" s="28">
        <f>E144</f>
        <v>10000</v>
      </c>
      <c r="F145" s="31"/>
      <c r="G145" s="28">
        <f>G144+E144</f>
        <v>30000</v>
      </c>
      <c r="H145" s="31"/>
      <c r="I145" s="28"/>
      <c r="J145" s="31"/>
      <c r="K145" s="28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3"/>
      <c r="B146" s="5"/>
      <c r="C146" s="5"/>
      <c r="D146" s="5"/>
      <c r="E146" s="28"/>
      <c r="F146" s="31"/>
      <c r="G146" s="28"/>
      <c r="H146" s="31"/>
      <c r="I146" s="28"/>
      <c r="J146" s="31"/>
      <c r="K146" s="28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3" t="s">
        <v>93</v>
      </c>
      <c r="B147" s="5"/>
      <c r="C147" s="5"/>
      <c r="D147" s="5"/>
      <c r="E147" s="28">
        <f>E145*5%</f>
        <v>500</v>
      </c>
      <c r="F147" s="31"/>
      <c r="G147" s="28">
        <f>G145*5%</f>
        <v>1500</v>
      </c>
      <c r="H147" s="31"/>
      <c r="I147" s="28"/>
      <c r="J147" s="31"/>
      <c r="K147" s="28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3"/>
      <c r="B148" s="5"/>
      <c r="C148" s="5"/>
      <c r="D148" s="5"/>
      <c r="E148" s="31"/>
      <c r="F148" s="31"/>
      <c r="G148" s="31"/>
      <c r="H148" s="31"/>
      <c r="I148" s="31"/>
      <c r="J148" s="31"/>
      <c r="K148" s="31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13" t="s">
        <v>94</v>
      </c>
      <c r="B149" s="52"/>
      <c r="C149" s="52"/>
      <c r="D149" s="52"/>
      <c r="E149" s="53">
        <f>E147/E80</f>
        <v>0.001829943363</v>
      </c>
      <c r="F149" s="54"/>
      <c r="G149" s="53">
        <f>G147/G80</f>
        <v>0.00332398923</v>
      </c>
      <c r="H149" s="53"/>
      <c r="I149" s="53"/>
      <c r="J149" s="53"/>
      <c r="K149" s="53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</row>
    <row r="150">
      <c r="A150" s="3"/>
      <c r="B150" s="5"/>
      <c r="C150" s="5"/>
      <c r="D150" s="5"/>
      <c r="E150" s="55"/>
      <c r="F150" s="56"/>
      <c r="G150" s="5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3" t="s">
        <v>95</v>
      </c>
      <c r="B151" s="5"/>
      <c r="C151" s="5"/>
      <c r="D151" s="5"/>
      <c r="E151" s="55" t="s">
        <v>96</v>
      </c>
      <c r="F151" s="56"/>
      <c r="G151" s="5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3" t="s">
        <v>97</v>
      </c>
      <c r="B152" s="5"/>
      <c r="C152" s="5"/>
      <c r="D152" s="5"/>
      <c r="E152" s="56"/>
      <c r="F152" s="56"/>
      <c r="G152" s="55" t="s">
        <v>96</v>
      </c>
      <c r="H152" s="5"/>
      <c r="I152" s="55"/>
      <c r="J152" s="5"/>
      <c r="K152" s="5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3" t="s">
        <v>98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1" t="s">
        <v>0</v>
      </c>
      <c r="B156" s="2"/>
      <c r="C156" s="1">
        <v>2025.0</v>
      </c>
      <c r="D156" s="2"/>
      <c r="E156" s="1">
        <v>2026.0</v>
      </c>
      <c r="F156" s="2"/>
      <c r="G156" s="1">
        <v>2027.0</v>
      </c>
      <c r="H156" s="2"/>
      <c r="I156" s="1"/>
      <c r="J156" s="2"/>
      <c r="K156" s="1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13" t="s">
        <v>99</v>
      </c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</row>
    <row r="159">
      <c r="A159" s="3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3" t="s">
        <v>51</v>
      </c>
      <c r="B160" s="5"/>
      <c r="C160" s="18" t="s">
        <v>1</v>
      </c>
      <c r="D160" s="27"/>
      <c r="E160" s="18" t="s">
        <v>1</v>
      </c>
      <c r="F160" s="27"/>
      <c r="G160" s="18" t="s">
        <v>2</v>
      </c>
      <c r="H160" s="27"/>
      <c r="I160" s="18"/>
      <c r="J160" s="27"/>
      <c r="K160" s="18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35" t="s">
        <v>73</v>
      </c>
      <c r="B162" s="36"/>
      <c r="C162" s="37">
        <f>C120</f>
        <v>3137.0976</v>
      </c>
      <c r="D162" s="36"/>
      <c r="E162" s="37">
        <f>E120</f>
        <v>4619.7108</v>
      </c>
      <c r="F162" s="36"/>
      <c r="G162" s="35">
        <v>0.0</v>
      </c>
      <c r="H162" s="36"/>
      <c r="I162" s="35"/>
      <c r="J162" s="36"/>
      <c r="K162" s="35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</row>
    <row r="163">
      <c r="A163" s="3" t="s">
        <v>74</v>
      </c>
      <c r="B163" s="5"/>
      <c r="C163" s="3">
        <v>0.0</v>
      </c>
      <c r="D163" s="5"/>
      <c r="E163" s="3">
        <v>0.0</v>
      </c>
      <c r="F163" s="5"/>
      <c r="G163" s="3">
        <v>0.0</v>
      </c>
      <c r="H163" s="5"/>
      <c r="I163" s="3"/>
      <c r="J163" s="5"/>
      <c r="K163" s="3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20" t="s">
        <v>75</v>
      </c>
      <c r="B164" s="46"/>
      <c r="C164" s="47">
        <f>C122</f>
        <v>-3717.942656</v>
      </c>
      <c r="D164" s="46"/>
      <c r="E164" s="47">
        <f>E122</f>
        <v>-4088.078799</v>
      </c>
      <c r="F164" s="46"/>
      <c r="G164" s="46">
        <f>-G112</f>
        <v>0</v>
      </c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3" t="s">
        <v>76</v>
      </c>
      <c r="B166" s="5"/>
      <c r="C166" s="20">
        <v>0.0</v>
      </c>
      <c r="D166" s="5"/>
      <c r="E166" s="37">
        <f>E162+E164</f>
        <v>531.632001</v>
      </c>
      <c r="F166" s="5"/>
      <c r="G166" s="36">
        <f>G162+G164</f>
        <v>0</v>
      </c>
      <c r="H166" s="5"/>
      <c r="I166" s="36"/>
      <c r="J166" s="5"/>
      <c r="K166" s="36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3" t="s">
        <v>100</v>
      </c>
      <c r="B167" s="5"/>
      <c r="C167" s="5"/>
      <c r="D167" s="5"/>
      <c r="E167" s="5"/>
      <c r="F167" s="5"/>
      <c r="G167" s="3">
        <v>0.0</v>
      </c>
      <c r="H167" s="5"/>
      <c r="I167" s="3"/>
      <c r="J167" s="5"/>
      <c r="K167" s="3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7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8" t="s">
        <v>101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8" t="s">
        <v>102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8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9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</row>
    <row r="173">
      <c r="A173" s="3" t="s">
        <v>103</v>
      </c>
      <c r="B173" s="3" t="s">
        <v>104</v>
      </c>
      <c r="C173" s="61">
        <v>6000.0</v>
      </c>
      <c r="D173" s="24"/>
      <c r="E173" s="61">
        <v>6000.0</v>
      </c>
      <c r="F173" s="24"/>
      <c r="G173" s="61">
        <v>6000.0</v>
      </c>
      <c r="H173" s="24"/>
      <c r="I173" s="61"/>
      <c r="J173" s="24"/>
      <c r="K173" s="61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3" t="s">
        <v>103</v>
      </c>
      <c r="B174" s="3" t="s">
        <v>105</v>
      </c>
      <c r="C174" s="61">
        <v>1000.0</v>
      </c>
      <c r="D174" s="24"/>
      <c r="E174" s="61">
        <v>1000.0</v>
      </c>
      <c r="F174" s="24"/>
      <c r="G174" s="61">
        <v>1000.0</v>
      </c>
      <c r="H174" s="24"/>
      <c r="I174" s="61"/>
      <c r="J174" s="24"/>
      <c r="K174" s="61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3" t="s">
        <v>103</v>
      </c>
      <c r="B175" s="3" t="s">
        <v>106</v>
      </c>
      <c r="C175" s="61">
        <v>4000.0</v>
      </c>
      <c r="D175" s="24"/>
      <c r="E175" s="61">
        <v>4000.0</v>
      </c>
      <c r="F175" s="24"/>
      <c r="G175" s="61">
        <v>4000.0</v>
      </c>
      <c r="H175" s="24"/>
      <c r="I175" s="61"/>
      <c r="J175" s="24"/>
      <c r="K175" s="61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3" t="s">
        <v>103</v>
      </c>
      <c r="B176" s="3" t="s">
        <v>107</v>
      </c>
      <c r="C176" s="61">
        <v>1000.0</v>
      </c>
      <c r="D176" s="24"/>
      <c r="E176" s="61">
        <v>1000.0</v>
      </c>
      <c r="F176" s="24"/>
      <c r="G176" s="61">
        <v>1000.0</v>
      </c>
      <c r="H176" s="24"/>
      <c r="I176" s="61"/>
      <c r="J176" s="24"/>
      <c r="K176" s="61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3" t="s">
        <v>108</v>
      </c>
      <c r="B177" s="3"/>
      <c r="C177" s="62">
        <f>Sum(C173:C176)</f>
        <v>12000</v>
      </c>
      <c r="D177" s="24"/>
      <c r="E177" s="62">
        <f>Sum(E173:E176)</f>
        <v>12000</v>
      </c>
      <c r="F177" s="24"/>
      <c r="G177" s="62">
        <f>Sum(G173:G176)</f>
        <v>12000</v>
      </c>
      <c r="H177" s="24"/>
      <c r="I177" s="62"/>
      <c r="J177" s="24"/>
      <c r="K177" s="62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3" t="s">
        <v>109</v>
      </c>
      <c r="B178" s="3" t="s">
        <v>110</v>
      </c>
      <c r="C178" s="61">
        <v>-4500.0</v>
      </c>
      <c r="D178" s="24"/>
      <c r="E178" s="61">
        <v>-4500.0</v>
      </c>
      <c r="F178" s="24"/>
      <c r="G178" s="61">
        <v>-4500.0</v>
      </c>
      <c r="H178" s="24"/>
      <c r="I178" s="61"/>
      <c r="J178" s="24"/>
      <c r="K178" s="61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3" t="s">
        <v>111</v>
      </c>
      <c r="B179" s="3"/>
      <c r="C179" s="63">
        <f>C177+C178</f>
        <v>7500</v>
      </c>
      <c r="D179" s="24"/>
      <c r="E179" s="63">
        <f>E177+E178</f>
        <v>7500</v>
      </c>
      <c r="F179" s="24"/>
      <c r="G179" s="63">
        <f>G177+G178</f>
        <v>7500</v>
      </c>
      <c r="H179" s="24"/>
      <c r="I179" s="63"/>
      <c r="J179" s="24"/>
      <c r="K179" s="61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3"/>
      <c r="B180" s="3"/>
      <c r="C180" s="4"/>
      <c r="D180" s="5"/>
      <c r="E180" s="4"/>
      <c r="F180" s="5"/>
      <c r="G180" s="4"/>
      <c r="H180" s="5"/>
      <c r="I180" s="4"/>
      <c r="J180" s="5"/>
      <c r="K180" s="4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3"/>
      <c r="B181" s="5"/>
      <c r="C181" s="6"/>
      <c r="D181" s="5"/>
      <c r="E181" s="6"/>
      <c r="F181" s="5"/>
      <c r="G181" s="6"/>
      <c r="H181" s="5"/>
      <c r="I181" s="6"/>
      <c r="J181" s="5"/>
      <c r="K181" s="6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3" t="s">
        <v>112</v>
      </c>
      <c r="B182" s="5"/>
      <c r="C182" s="6"/>
      <c r="D182" s="5"/>
      <c r="E182" s="6"/>
      <c r="F182" s="5"/>
      <c r="G182" s="6"/>
      <c r="H182" s="5"/>
      <c r="I182" s="6"/>
      <c r="J182" s="5"/>
      <c r="K182" s="6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3" t="s">
        <v>113</v>
      </c>
      <c r="B183" s="5"/>
      <c r="C183" s="6"/>
      <c r="D183" s="5"/>
      <c r="E183" s="6"/>
      <c r="F183" s="5"/>
      <c r="G183" s="6"/>
      <c r="H183" s="5"/>
      <c r="I183" s="6"/>
      <c r="J183" s="5"/>
      <c r="K183" s="6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B184" s="64"/>
      <c r="C184" s="6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66"/>
      <c r="B185" s="67"/>
      <c r="C185" s="6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66" t="s">
        <v>114</v>
      </c>
      <c r="B186" s="67"/>
      <c r="C186" s="6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68" t="s">
        <v>115</v>
      </c>
      <c r="B187" s="69" t="s">
        <v>116</v>
      </c>
      <c r="C187" s="6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68" t="s">
        <v>117</v>
      </c>
      <c r="B188" s="70">
        <v>1556.0</v>
      </c>
      <c r="C188" s="71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68" t="s">
        <v>118</v>
      </c>
      <c r="B189" s="72" t="s">
        <v>119</v>
      </c>
      <c r="C189" s="6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66"/>
      <c r="B190" s="64"/>
      <c r="C190" s="73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66" t="s">
        <v>120</v>
      </c>
      <c r="B191" s="64"/>
      <c r="C191" s="6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66" t="s">
        <v>121</v>
      </c>
      <c r="B192" s="67" t="s">
        <v>122</v>
      </c>
      <c r="C192" s="6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66">
        <v>33000.0</v>
      </c>
      <c r="B193" s="64">
        <f>1560-(3.2% * ( A193 -29740))</f>
        <v>1455.68</v>
      </c>
      <c r="C193" s="6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74"/>
      <c r="B194" s="75"/>
      <c r="C194" s="7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77"/>
      <c r="B195" s="78"/>
      <c r="C195" s="78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77"/>
      <c r="B196" s="78"/>
      <c r="C196" s="78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77"/>
      <c r="B197" s="78"/>
      <c r="C197" s="78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77"/>
      <c r="B198" s="78"/>
      <c r="C198" s="78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77"/>
      <c r="B199" s="79"/>
      <c r="C199" s="79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77"/>
      <c r="B200" s="78"/>
      <c r="C200" s="78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77"/>
      <c r="B201" s="78"/>
      <c r="C201" s="78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B202" s="64"/>
      <c r="C202" s="6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66"/>
      <c r="B203" s="64"/>
      <c r="C203" s="6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80"/>
      <c r="B204" s="64"/>
      <c r="C204" s="6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80"/>
      <c r="B205" s="64"/>
      <c r="C205" s="6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80"/>
      <c r="B206" s="64"/>
      <c r="C206" s="6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80"/>
      <c r="B207" s="64"/>
      <c r="C207" s="6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81"/>
      <c r="B208" s="64"/>
      <c r="C208" s="6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81"/>
      <c r="B209" s="64"/>
      <c r="C209" s="6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B210" s="64"/>
      <c r="C210" s="6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B211" s="64"/>
      <c r="C211" s="6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81"/>
      <c r="B212" s="64"/>
      <c r="C212" s="6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B213" s="73"/>
      <c r="C213" s="73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66"/>
      <c r="B214" s="67"/>
      <c r="C214" s="6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66"/>
      <c r="B215" s="67"/>
      <c r="C215" s="6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66"/>
      <c r="B216" s="67"/>
      <c r="C216" s="6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66"/>
      <c r="B217" s="78"/>
      <c r="C217" s="78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66"/>
      <c r="B218" s="64"/>
      <c r="C218" s="64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66"/>
      <c r="B219" s="64"/>
      <c r="C219" s="64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66"/>
      <c r="B220" s="67"/>
      <c r="C220" s="73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66"/>
      <c r="B221" s="67"/>
      <c r="C221" s="73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63"/>
    <col customWidth="1" min="2" max="2" width="58.0"/>
    <col customWidth="1" min="3" max="3" width="113.63"/>
    <col customWidth="1" min="4" max="4" width="21.88"/>
    <col customWidth="1" min="5" max="26" width="51.63"/>
  </cols>
  <sheetData>
    <row r="1">
      <c r="A1" s="82" t="s">
        <v>123</v>
      </c>
      <c r="B1" s="83" t="s">
        <v>124</v>
      </c>
      <c r="C1" s="84"/>
      <c r="D1" s="85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>
      <c r="A2" s="77"/>
      <c r="B2" s="83"/>
      <c r="C2" s="85"/>
      <c r="D2" s="84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>
      <c r="A3" s="77" t="s">
        <v>125</v>
      </c>
      <c r="B3" s="84">
        <v>500.0</v>
      </c>
      <c r="C3" s="84" t="s">
        <v>126</v>
      </c>
      <c r="D3" s="84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>
      <c r="A4" s="77" t="s">
        <v>127</v>
      </c>
      <c r="B4" s="83">
        <v>70.0</v>
      </c>
      <c r="C4" s="84" t="s">
        <v>126</v>
      </c>
      <c r="D4" s="84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>
      <c r="A5" s="77"/>
      <c r="B5" s="87"/>
      <c r="C5" s="84"/>
      <c r="D5" s="84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>
      <c r="A6" s="77" t="s">
        <v>128</v>
      </c>
      <c r="B6" s="84">
        <v>500.0</v>
      </c>
      <c r="C6" s="84" t="s">
        <v>126</v>
      </c>
      <c r="D6" s="84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>
      <c r="A7" s="77" t="s">
        <v>129</v>
      </c>
      <c r="B7" s="83">
        <v>50.0</v>
      </c>
      <c r="C7" s="84" t="s">
        <v>126</v>
      </c>
      <c r="D7" s="84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>
      <c r="A8" s="77"/>
      <c r="B8" s="87"/>
      <c r="C8" s="84"/>
      <c r="D8" s="84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>
      <c r="A9" s="77" t="s">
        <v>130</v>
      </c>
      <c r="B9" s="87">
        <f>B3*B4</f>
        <v>35000</v>
      </c>
      <c r="C9" s="84"/>
      <c r="D9" s="84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>
      <c r="A10" s="77" t="s">
        <v>131</v>
      </c>
      <c r="B10" s="87">
        <f>B6*B7</f>
        <v>25000</v>
      </c>
      <c r="C10" s="84"/>
      <c r="D10" s="84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>
      <c r="A11" s="88"/>
      <c r="B11" s="89"/>
      <c r="C11" s="84"/>
      <c r="D11" s="85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>
      <c r="A12" s="88" t="s">
        <v>132</v>
      </c>
      <c r="B12" s="89">
        <f>B9+B10</f>
        <v>60000</v>
      </c>
      <c r="C12" s="84" t="s">
        <v>133</v>
      </c>
      <c r="D12" s="85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>
      <c r="A13" s="77"/>
      <c r="B13" s="83"/>
      <c r="C13" s="85"/>
      <c r="D13" s="84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>
      <c r="A14" s="90" t="s">
        <v>134</v>
      </c>
      <c r="B14" s="91">
        <v>60000.0</v>
      </c>
      <c r="C14" s="92"/>
      <c r="D14" s="93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>
      <c r="A15" s="77"/>
      <c r="B15" s="83"/>
      <c r="C15" s="85"/>
      <c r="D15" s="84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>
      <c r="A16" s="77" t="s">
        <v>135</v>
      </c>
      <c r="B16" s="83">
        <v>50000.0</v>
      </c>
      <c r="C16" s="85"/>
      <c r="D16" s="84" t="s">
        <v>126</v>
      </c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>
      <c r="A17" s="77" t="s">
        <v>136</v>
      </c>
      <c r="B17" s="87">
        <f>B16/1.21*0.21</f>
        <v>8677.68595</v>
      </c>
      <c r="C17" s="84" t="s">
        <v>137</v>
      </c>
      <c r="D17" s="85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>
      <c r="A18" s="77" t="s">
        <v>138</v>
      </c>
      <c r="B18" s="87">
        <f>B16-B17</f>
        <v>41322.31405</v>
      </c>
      <c r="C18" s="84" t="s">
        <v>139</v>
      </c>
      <c r="D18" s="85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>
      <c r="A19" s="77"/>
      <c r="B19" s="85"/>
      <c r="C19" s="84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>
      <c r="A20" s="77" t="s">
        <v>140</v>
      </c>
      <c r="B20" s="87">
        <f>B18/5</f>
        <v>8264.46281</v>
      </c>
      <c r="C20" s="84" t="s">
        <v>141</v>
      </c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>
      <c r="A21" s="77" t="s">
        <v>142</v>
      </c>
      <c r="B21" s="83">
        <f>0.28*B18</f>
        <v>11570.24793</v>
      </c>
      <c r="C21" s="84" t="s">
        <v>143</v>
      </c>
      <c r="D21" s="85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>
      <c r="A22" s="77" t="s">
        <v>144</v>
      </c>
      <c r="B22" s="78">
        <v>3000.0</v>
      </c>
      <c r="C22" s="84" t="s">
        <v>145</v>
      </c>
      <c r="D22" s="77" t="s">
        <v>146</v>
      </c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>
      <c r="A23" s="77" t="s">
        <v>147</v>
      </c>
      <c r="B23" s="87">
        <f>B18*5%</f>
        <v>2066.115702</v>
      </c>
      <c r="C23" s="84" t="s">
        <v>148</v>
      </c>
      <c r="D23" s="85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>
      <c r="A24" s="77" t="s">
        <v>149</v>
      </c>
      <c r="B24" s="87">
        <f>B20+B21+B22+B23</f>
        <v>24900.82645</v>
      </c>
      <c r="C24" s="84" t="s">
        <v>150</v>
      </c>
      <c r="D24" s="85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>
      <c r="A25" s="86"/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>
      <c r="A26" s="77" t="s">
        <v>151</v>
      </c>
      <c r="B26" s="78">
        <v>6000.0</v>
      </c>
      <c r="C26" s="84" t="s">
        <v>152</v>
      </c>
      <c r="D26" s="84" t="s">
        <v>126</v>
      </c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>
      <c r="A27" s="77" t="s">
        <v>153</v>
      </c>
      <c r="B27" s="95">
        <v>0.22</v>
      </c>
      <c r="C27" s="84" t="s">
        <v>154</v>
      </c>
      <c r="D27" s="85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>
      <c r="A28" s="77" t="s">
        <v>155</v>
      </c>
      <c r="B28" s="83">
        <f>B18*B27</f>
        <v>9090.909091</v>
      </c>
      <c r="C28" s="84" t="s">
        <v>156</v>
      </c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>
      <c r="A29" s="77"/>
      <c r="B29" s="87"/>
      <c r="C29" s="84"/>
      <c r="D29" s="85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>
      <c r="A30" s="82" t="s">
        <v>157</v>
      </c>
      <c r="B30" s="96">
        <f>B14-B24+B27</f>
        <v>35099.39355</v>
      </c>
      <c r="C30" s="84" t="s">
        <v>158</v>
      </c>
      <c r="D30" s="85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>
      <c r="A31" s="77"/>
      <c r="B31" s="97"/>
      <c r="C31" s="84"/>
      <c r="D31" s="84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>
      <c r="A32" s="77" t="s">
        <v>159</v>
      </c>
      <c r="B32" s="97">
        <v>1200.0</v>
      </c>
      <c r="C32" s="84" t="s">
        <v>160</v>
      </c>
      <c r="D32" s="84" t="s">
        <v>126</v>
      </c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>
      <c r="A33" s="77" t="s">
        <v>161</v>
      </c>
      <c r="B33" s="97">
        <v>2123.0</v>
      </c>
      <c r="C33" s="84" t="s">
        <v>162</v>
      </c>
      <c r="D33" s="84" t="s">
        <v>126</v>
      </c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>
      <c r="A34" s="77" t="s">
        <v>163</v>
      </c>
      <c r="B34" s="97">
        <f>B30-B32-B33-B36</f>
        <v>31776.26655</v>
      </c>
      <c r="C34" s="85"/>
      <c r="D34" s="85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>
      <c r="A35" s="77"/>
      <c r="B35" s="98"/>
      <c r="C35" s="85"/>
      <c r="D35" s="84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>
      <c r="A36" s="77" t="s">
        <v>164</v>
      </c>
      <c r="B36" s="98">
        <v>0.127</v>
      </c>
      <c r="C36" s="84" t="s">
        <v>165</v>
      </c>
      <c r="D36" s="84" t="s">
        <v>126</v>
      </c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>
      <c r="A37" s="77" t="s">
        <v>166</v>
      </c>
      <c r="B37" s="99">
        <f>B36*B14</f>
        <v>7620</v>
      </c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>
      <c r="A39" s="88" t="s">
        <v>167</v>
      </c>
      <c r="B39" s="100">
        <f>B34-B37</f>
        <v>24156.26655</v>
      </c>
      <c r="C39" s="85"/>
      <c r="D39" s="85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>
      <c r="A40" s="77"/>
      <c r="B40" s="98"/>
      <c r="C40" s="84"/>
      <c r="D40" s="85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>
      <c r="A41" s="77" t="s">
        <v>168</v>
      </c>
      <c r="B41" s="101">
        <v>0.1785</v>
      </c>
      <c r="C41" s="84"/>
      <c r="D41" s="85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>
      <c r="A42" s="77" t="s">
        <v>169</v>
      </c>
      <c r="B42" s="97">
        <f>B39*B41</f>
        <v>4311.89358</v>
      </c>
      <c r="C42" s="84"/>
      <c r="D42" s="85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>
      <c r="A43" s="77"/>
      <c r="B43" s="97"/>
      <c r="C43" s="84"/>
      <c r="D43" s="84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>
      <c r="A44" s="77" t="s">
        <v>170</v>
      </c>
      <c r="B44" s="97">
        <v>0.0</v>
      </c>
      <c r="C44" s="84"/>
      <c r="D44" s="84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>
      <c r="A45" s="77" t="s">
        <v>171</v>
      </c>
      <c r="B45" s="97">
        <f>5700/2</f>
        <v>2850</v>
      </c>
      <c r="C45" s="84" t="s">
        <v>172</v>
      </c>
      <c r="D45" s="84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>
      <c r="A46" s="77"/>
      <c r="B46" s="102"/>
      <c r="C46" s="85"/>
      <c r="D46" s="85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>
      <c r="A47" s="103" t="s">
        <v>173</v>
      </c>
      <c r="B47" s="104">
        <f>B42-B45</f>
        <v>1461.89358</v>
      </c>
      <c r="C47" s="85"/>
      <c r="D47" s="85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>
      <c r="A48" s="103"/>
      <c r="B48" s="105"/>
      <c r="C48" s="106"/>
      <c r="D48" s="107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>
      <c r="A49" s="103" t="s">
        <v>174</v>
      </c>
      <c r="B49" s="109">
        <f>B47/B14</f>
        <v>0.024364893</v>
      </c>
      <c r="C49" s="106"/>
      <c r="D49" s="107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>
      <c r="A50" s="88"/>
      <c r="B50" s="100"/>
      <c r="C50" s="106"/>
      <c r="D50" s="107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>
      <c r="A51" s="90" t="s">
        <v>175</v>
      </c>
      <c r="B51" s="110">
        <f>B14-B47</f>
        <v>58538.10642</v>
      </c>
      <c r="C51" s="111" t="s">
        <v>176</v>
      </c>
      <c r="D51" s="112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</row>
    <row r="52">
      <c r="A52" s="77" t="s">
        <v>177</v>
      </c>
      <c r="B52" s="83">
        <f>B51-B22-B23</f>
        <v>53471.99072</v>
      </c>
      <c r="C52" s="84"/>
      <c r="D52" s="85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>
      <c r="A53" s="77"/>
      <c r="B53" s="83"/>
      <c r="C53" s="84"/>
      <c r="D53" s="85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>
      <c r="A54" s="77" t="s">
        <v>178</v>
      </c>
      <c r="B54" s="83">
        <f>B52/12</f>
        <v>4455.999226</v>
      </c>
      <c r="C54" s="84"/>
      <c r="D54" s="85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>
      <c r="A55" s="77" t="s">
        <v>179</v>
      </c>
      <c r="B55" s="84">
        <f>B3+B6</f>
        <v>1000</v>
      </c>
      <c r="C55" s="84"/>
      <c r="D55" s="85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>
      <c r="A56" s="77" t="s">
        <v>180</v>
      </c>
      <c r="B56" s="83">
        <f>B52/B55</f>
        <v>53.47199072</v>
      </c>
      <c r="C56" s="84"/>
      <c r="D56" s="85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>
      <c r="A57" s="77"/>
      <c r="B57" s="83"/>
      <c r="C57" s="84"/>
      <c r="D57" s="85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>
      <c r="A58" s="114"/>
      <c r="B58" s="115"/>
      <c r="C58" s="116"/>
      <c r="D58" s="116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>
      <c r="A59" s="88"/>
      <c r="B59" s="118"/>
      <c r="C59" s="85"/>
      <c r="D59" s="85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>
      <c r="A60" s="88"/>
      <c r="B60" s="118"/>
      <c r="C60" s="85"/>
      <c r="D60" s="85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>
      <c r="A61" s="88"/>
      <c r="B61" s="118"/>
      <c r="C61" s="85"/>
      <c r="D61" s="85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>
      <c r="A62" s="82" t="s">
        <v>181</v>
      </c>
      <c r="B62" s="83" t="s">
        <v>124</v>
      </c>
      <c r="C62" s="84" t="s">
        <v>182</v>
      </c>
      <c r="D62" s="85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>
      <c r="A63" s="77" t="s">
        <v>183</v>
      </c>
      <c r="B63" s="83">
        <v>1225.0</v>
      </c>
      <c r="C63" s="84" t="s">
        <v>184</v>
      </c>
      <c r="D63" s="84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>
      <c r="A64" s="77" t="s">
        <v>185</v>
      </c>
      <c r="B64" s="83"/>
      <c r="C64" s="85"/>
      <c r="D64" s="84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>
      <c r="A65" s="77"/>
      <c r="B65" s="83"/>
      <c r="C65" s="85"/>
      <c r="D65" s="84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>
      <c r="A66" s="77" t="s">
        <v>125</v>
      </c>
      <c r="B66" s="84">
        <v>500.0</v>
      </c>
      <c r="C66" s="85"/>
      <c r="D66" s="84" t="s">
        <v>126</v>
      </c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>
      <c r="A67" s="77" t="s">
        <v>127</v>
      </c>
      <c r="B67" s="83">
        <v>70.0</v>
      </c>
      <c r="C67" s="85"/>
      <c r="D67" s="84" t="s">
        <v>126</v>
      </c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>
      <c r="A69" s="77" t="s">
        <v>128</v>
      </c>
      <c r="B69" s="84">
        <v>500.0</v>
      </c>
      <c r="C69" s="85"/>
      <c r="D69" s="84" t="s">
        <v>126</v>
      </c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>
      <c r="A70" s="77" t="s">
        <v>129</v>
      </c>
      <c r="B70" s="83">
        <v>50.0</v>
      </c>
      <c r="C70" s="85"/>
      <c r="D70" s="84" t="s">
        <v>126</v>
      </c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>
      <c r="A71" s="77"/>
      <c r="B71" s="87"/>
      <c r="C71" s="84"/>
      <c r="D71" s="84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>
      <c r="A72" s="77" t="s">
        <v>130</v>
      </c>
      <c r="B72" s="87">
        <f>B66*B67</f>
        <v>35000</v>
      </c>
      <c r="C72" s="84" t="s">
        <v>186</v>
      </c>
      <c r="D72" s="84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>
      <c r="A73" s="77" t="s">
        <v>131</v>
      </c>
      <c r="B73" s="87">
        <f>B69*B70</f>
        <v>25000</v>
      </c>
      <c r="C73" s="84" t="s">
        <v>187</v>
      </c>
      <c r="D73" s="84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>
      <c r="A74" s="88"/>
      <c r="B74" s="89"/>
      <c r="C74" s="84"/>
      <c r="D74" s="85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>
      <c r="A75" s="88" t="s">
        <v>132</v>
      </c>
      <c r="B75" s="89">
        <f>B72+B73</f>
        <v>60000</v>
      </c>
      <c r="C75" s="84" t="s">
        <v>188</v>
      </c>
      <c r="D75" s="85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>
      <c r="A76" s="77"/>
      <c r="B76" s="83"/>
      <c r="C76" s="85"/>
      <c r="D76" s="84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>
      <c r="A77" s="88" t="s">
        <v>189</v>
      </c>
      <c r="B77" s="118">
        <v>60000.0</v>
      </c>
      <c r="C77" s="85"/>
      <c r="D77" s="84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>
      <c r="A78" s="77"/>
      <c r="B78" s="83"/>
      <c r="C78" s="85"/>
      <c r="D78" s="84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>
      <c r="A79" s="77" t="s">
        <v>135</v>
      </c>
      <c r="B79" s="83">
        <v>50000.0</v>
      </c>
      <c r="C79" s="85"/>
      <c r="D79" s="84" t="s">
        <v>126</v>
      </c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>
      <c r="A80" s="77" t="s">
        <v>136</v>
      </c>
      <c r="B80" s="87">
        <f>B79/1.21*0.21</f>
        <v>8677.68595</v>
      </c>
      <c r="C80" s="84" t="s">
        <v>137</v>
      </c>
      <c r="D80" s="85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>
      <c r="A81" s="77" t="s">
        <v>138</v>
      </c>
      <c r="B81" s="87">
        <f>B79-B80</f>
        <v>41322.31405</v>
      </c>
      <c r="C81" s="84" t="s">
        <v>139</v>
      </c>
      <c r="D81" s="85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>
      <c r="A82" s="77"/>
      <c r="B82" s="85"/>
      <c r="C82" s="84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>
      <c r="A83" s="77" t="s">
        <v>140</v>
      </c>
      <c r="B83" s="87">
        <f>B81/5</f>
        <v>8264.46281</v>
      </c>
      <c r="C83" s="84" t="s">
        <v>141</v>
      </c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>
      <c r="A84" s="77" t="s">
        <v>142</v>
      </c>
      <c r="B84" s="83">
        <f>0.28*B81</f>
        <v>11570.24793</v>
      </c>
      <c r="C84" s="84" t="s">
        <v>143</v>
      </c>
      <c r="D84" s="85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>
      <c r="A85" s="77" t="s">
        <v>144</v>
      </c>
      <c r="B85" s="78">
        <v>0.0</v>
      </c>
      <c r="C85" s="84" t="s">
        <v>145</v>
      </c>
      <c r="D85" s="77" t="s">
        <v>146</v>
      </c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>
      <c r="A86" s="77" t="s">
        <v>147</v>
      </c>
      <c r="B86" s="87">
        <f>B81*5%</f>
        <v>2066.115702</v>
      </c>
      <c r="C86" s="84" t="s">
        <v>148</v>
      </c>
      <c r="D86" s="85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>
      <c r="A87" s="77" t="s">
        <v>149</v>
      </c>
      <c r="B87" s="87">
        <f>B83+B84+B85+B86</f>
        <v>21900.82645</v>
      </c>
      <c r="C87" s="84" t="s">
        <v>150</v>
      </c>
      <c r="D87" s="85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>
      <c r="A89" s="77" t="s">
        <v>151</v>
      </c>
      <c r="B89" s="78">
        <v>6000.0</v>
      </c>
      <c r="C89" s="84" t="s">
        <v>152</v>
      </c>
      <c r="D89" s="84" t="s">
        <v>126</v>
      </c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>
      <c r="A90" s="77" t="s">
        <v>153</v>
      </c>
      <c r="B90" s="95">
        <v>0.22</v>
      </c>
      <c r="C90" s="84" t="s">
        <v>154</v>
      </c>
      <c r="D90" s="85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>
      <c r="A91" s="77" t="s">
        <v>155</v>
      </c>
      <c r="B91" s="83">
        <f>B81*B90</f>
        <v>9090.909091</v>
      </c>
      <c r="C91" s="84" t="s">
        <v>156</v>
      </c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>
      <c r="A92" s="77"/>
      <c r="B92" s="87"/>
      <c r="C92" s="84"/>
      <c r="D92" s="85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>
      <c r="A93" s="77" t="s">
        <v>190</v>
      </c>
      <c r="B93" s="87">
        <f>B77-B87+B90</f>
        <v>38099.39355</v>
      </c>
      <c r="C93" s="84" t="s">
        <v>158</v>
      </c>
      <c r="D93" s="85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>
      <c r="A94" s="77"/>
      <c r="B94" s="97"/>
      <c r="C94" s="84"/>
      <c r="D94" s="84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>
      <c r="A95" s="77" t="s">
        <v>159</v>
      </c>
      <c r="B95" s="97">
        <v>1200.0</v>
      </c>
      <c r="C95" s="84" t="s">
        <v>160</v>
      </c>
      <c r="D95" s="84" t="s">
        <v>126</v>
      </c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>
      <c r="A96" s="77" t="s">
        <v>161</v>
      </c>
      <c r="B96" s="97">
        <v>2123.0</v>
      </c>
      <c r="C96" s="84" t="s">
        <v>162</v>
      </c>
      <c r="D96" s="84" t="s">
        <v>126</v>
      </c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>
      <c r="A97" s="77" t="s">
        <v>163</v>
      </c>
      <c r="B97" s="97">
        <f>B93-B95-B96-B99</f>
        <v>34776.26655</v>
      </c>
      <c r="C97" s="85"/>
      <c r="D97" s="85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>
      <c r="A98" s="77"/>
      <c r="B98" s="98"/>
      <c r="C98" s="85"/>
      <c r="D98" s="84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>
      <c r="A99" s="77" t="s">
        <v>164</v>
      </c>
      <c r="B99" s="98">
        <v>0.127</v>
      </c>
      <c r="C99" s="84" t="s">
        <v>191</v>
      </c>
      <c r="D99" s="84" t="s">
        <v>126</v>
      </c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>
      <c r="A100" s="77" t="s">
        <v>166</v>
      </c>
      <c r="B100" s="99">
        <f>B99*B77</f>
        <v>7620</v>
      </c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>
      <c r="A102" s="88" t="s">
        <v>192</v>
      </c>
      <c r="B102" s="100">
        <f>B97-B100</f>
        <v>27156.26655</v>
      </c>
      <c r="C102" s="85"/>
      <c r="D102" s="85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>
      <c r="A103" s="77"/>
      <c r="B103" s="98"/>
      <c r="C103" s="84"/>
      <c r="D103" s="85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>
      <c r="A104" s="77" t="s">
        <v>193</v>
      </c>
      <c r="B104" s="98">
        <v>0.357</v>
      </c>
      <c r="C104" s="84"/>
      <c r="D104" s="85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>
      <c r="A106" s="77" t="s">
        <v>169</v>
      </c>
      <c r="B106" s="97">
        <f>B102*B104</f>
        <v>9694.78716</v>
      </c>
      <c r="C106" s="84" t="s">
        <v>194</v>
      </c>
      <c r="D106" s="85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>
      <c r="A107" s="77"/>
      <c r="B107" s="97"/>
      <c r="C107" s="84"/>
      <c r="D107" s="84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>
      <c r="A108" s="77" t="s">
        <v>195</v>
      </c>
      <c r="B108" s="97">
        <v>3115.0</v>
      </c>
      <c r="C108" s="84"/>
      <c r="D108" s="84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>
      <c r="A109" s="77" t="s">
        <v>196</v>
      </c>
      <c r="B109" s="97">
        <v>5700.0</v>
      </c>
      <c r="C109" s="84" t="s">
        <v>197</v>
      </c>
      <c r="D109" s="119">
        <f>5700/46000</f>
        <v>0.1239130435</v>
      </c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>
      <c r="A110" s="77"/>
      <c r="B110" s="102"/>
      <c r="C110" s="84" t="s">
        <v>198</v>
      </c>
      <c r="D110" s="85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>
      <c r="A111" s="120" t="s">
        <v>199</v>
      </c>
      <c r="B111" s="104">
        <f>B106-B108-B109</f>
        <v>879.7871597</v>
      </c>
      <c r="C111" s="85"/>
      <c r="D111" s="85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>
      <c r="A112" s="103" t="s">
        <v>174</v>
      </c>
      <c r="B112" s="105">
        <f>B111/B77</f>
        <v>0.01466311933</v>
      </c>
      <c r="C112" s="106"/>
      <c r="D112" s="107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>
      <c r="A113" s="88"/>
      <c r="B113" s="100"/>
      <c r="C113" s="106"/>
      <c r="D113" s="107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>
      <c r="A114" s="88" t="s">
        <v>175</v>
      </c>
      <c r="B114" s="100">
        <f>B77-B111</f>
        <v>59120.21284</v>
      </c>
      <c r="C114" s="106" t="s">
        <v>176</v>
      </c>
      <c r="D114" s="107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>
      <c r="A115" s="77"/>
      <c r="B115" s="97"/>
      <c r="C115" s="85"/>
      <c r="D115" s="85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>
      <c r="A116" s="77" t="s">
        <v>178</v>
      </c>
      <c r="B116" s="83">
        <f>B114/12</f>
        <v>4926.684403</v>
      </c>
      <c r="C116" s="84"/>
      <c r="D116" s="85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>
      <c r="A117" s="77" t="s">
        <v>179</v>
      </c>
      <c r="B117" s="84">
        <f>B55</f>
        <v>1000</v>
      </c>
      <c r="C117" s="84"/>
      <c r="D117" s="85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>
      <c r="A118" s="77" t="s">
        <v>180</v>
      </c>
      <c r="B118" s="83">
        <f>B114/B117</f>
        <v>59.12021284</v>
      </c>
      <c r="C118" s="84"/>
      <c r="D118" s="85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>
      <c r="A119" s="121"/>
      <c r="B119" s="122"/>
      <c r="C119" s="123"/>
      <c r="D119" s="123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</row>
    <row r="120">
      <c r="A120" s="121"/>
      <c r="B120" s="122"/>
      <c r="C120" s="123"/>
      <c r="D120" s="123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</row>
    <row r="121">
      <c r="A121" s="120" t="s">
        <v>200</v>
      </c>
      <c r="B121" s="125"/>
      <c r="C121" s="85"/>
      <c r="D121" s="85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>
      <c r="A122" s="88" t="s">
        <v>201</v>
      </c>
      <c r="B122" s="100" t="s">
        <v>202</v>
      </c>
      <c r="C122" s="85"/>
      <c r="D122" s="85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>
      <c r="A123" s="88"/>
      <c r="B123" s="100"/>
      <c r="C123" s="85"/>
      <c r="D123" s="85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>
      <c r="A124" s="88" t="s">
        <v>203</v>
      </c>
      <c r="B124" s="118" t="s">
        <v>204</v>
      </c>
      <c r="C124" s="85"/>
      <c r="D124" s="85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>
      <c r="A125" s="77" t="s">
        <v>205</v>
      </c>
      <c r="B125" s="83" t="s">
        <v>206</v>
      </c>
      <c r="C125" s="85"/>
      <c r="D125" s="85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>
      <c r="A126" s="77" t="s">
        <v>207</v>
      </c>
      <c r="B126" s="83" t="s">
        <v>208</v>
      </c>
      <c r="C126" s="85"/>
      <c r="D126" s="85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>
      <c r="A127" s="77" t="s">
        <v>209</v>
      </c>
      <c r="B127" s="83" t="s">
        <v>210</v>
      </c>
      <c r="C127" s="85"/>
      <c r="D127" s="85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>
      <c r="A128" s="86"/>
      <c r="B128" s="87"/>
      <c r="C128" s="85"/>
      <c r="D128" s="85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>
      <c r="A129" s="86"/>
      <c r="B129" s="126" t="s">
        <v>211</v>
      </c>
      <c r="C129" s="85"/>
      <c r="D129" s="85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>
      <c r="A130" s="86"/>
      <c r="B130" s="87"/>
      <c r="C130" s="85"/>
      <c r="D130" s="85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>
      <c r="A131" s="77" t="s">
        <v>212</v>
      </c>
      <c r="B131" s="126">
        <v>40000.0</v>
      </c>
      <c r="D131" s="85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>
      <c r="A132" s="77" t="s">
        <v>213</v>
      </c>
      <c r="B132" s="87">
        <f>4.2%*B131</f>
        <v>1680</v>
      </c>
      <c r="C132" s="85"/>
      <c r="D132" s="85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>
      <c r="A133" s="77" t="s">
        <v>214</v>
      </c>
      <c r="B133" s="87">
        <f>500+15.5%*(B131-12000)</f>
        <v>4840</v>
      </c>
      <c r="C133" s="85"/>
      <c r="D133" s="85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>
      <c r="A134" s="77" t="s">
        <v>215</v>
      </c>
      <c r="B134" s="87">
        <f>2650+1%*(B131-25000)</f>
        <v>2800</v>
      </c>
      <c r="C134" s="84" t="s">
        <v>216</v>
      </c>
      <c r="D134" s="85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>
      <c r="A135" s="77" t="s">
        <v>217</v>
      </c>
      <c r="B135" s="96">
        <f>2850-3.3%*(B131-45500)</f>
        <v>3031.5</v>
      </c>
      <c r="C135" s="85"/>
      <c r="D135" s="85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>
      <c r="C136" s="85"/>
      <c r="D136" s="85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>
      <c r="A137" s="77"/>
      <c r="B137" s="126"/>
      <c r="C137" s="85"/>
      <c r="D137" s="85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>
      <c r="A138" s="77"/>
      <c r="B138" s="87"/>
      <c r="C138" s="85"/>
      <c r="D138" s="85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>
      <c r="A139" s="77"/>
      <c r="B139" s="87"/>
      <c r="C139" s="85"/>
      <c r="D139" s="85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>
      <c r="A140" s="77"/>
      <c r="B140" s="87"/>
      <c r="C140" s="85"/>
      <c r="D140" s="85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>
      <c r="A141" s="77"/>
      <c r="B141" s="96"/>
      <c r="C141" s="85"/>
      <c r="D141" s="85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>
      <c r="A142" s="86"/>
      <c r="B142" s="87"/>
      <c r="C142" s="85"/>
      <c r="D142" s="85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>
      <c r="A143" s="77"/>
      <c r="B143" s="126"/>
      <c r="C143" s="85"/>
      <c r="D143" s="85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>
      <c r="A144" s="77"/>
      <c r="B144" s="87"/>
      <c r="C144" s="85"/>
      <c r="D144" s="85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>
      <c r="A145" s="77"/>
      <c r="B145" s="87"/>
      <c r="C145" s="85"/>
      <c r="D145" s="85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>
      <c r="A146" s="77"/>
      <c r="B146" s="87"/>
      <c r="C146" s="85"/>
      <c r="D146" s="85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>
      <c r="A147" s="77"/>
      <c r="B147" s="96"/>
      <c r="C147" s="85"/>
      <c r="D147" s="85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>
      <c r="A148" s="86"/>
      <c r="B148" s="87"/>
      <c r="C148" s="85"/>
      <c r="D148" s="85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>
      <c r="A149" s="127" t="s">
        <v>218</v>
      </c>
      <c r="B149" s="128"/>
      <c r="C149" s="129"/>
      <c r="D149" s="129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</row>
    <row r="150">
      <c r="A150" s="131"/>
      <c r="B150" s="128"/>
      <c r="C150" s="129"/>
      <c r="D150" s="129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</row>
    <row r="151">
      <c r="A151" s="132" t="s">
        <v>219</v>
      </c>
      <c r="B151" s="128"/>
      <c r="C151" s="129"/>
      <c r="D151" s="129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</row>
    <row r="152">
      <c r="A152" s="58" t="s">
        <v>220</v>
      </c>
      <c r="B152" s="87"/>
      <c r="C152" s="85"/>
      <c r="D152" s="85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>
      <c r="A153" s="77" t="s">
        <v>221</v>
      </c>
      <c r="B153" s="87"/>
      <c r="C153" s="85"/>
      <c r="D153" s="85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>
      <c r="A154" s="77" t="s">
        <v>222</v>
      </c>
      <c r="B154" s="87"/>
      <c r="C154" s="85"/>
      <c r="D154" s="85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>
      <c r="A155" s="86"/>
      <c r="B155" s="87"/>
      <c r="C155" s="85"/>
      <c r="D155" s="85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>
      <c r="A156" s="133" t="s">
        <v>200</v>
      </c>
      <c r="B156" s="134"/>
      <c r="C156" s="85"/>
      <c r="D156" s="85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>
      <c r="A157" s="133" t="s">
        <v>223</v>
      </c>
      <c r="B157" s="135" t="s">
        <v>202</v>
      </c>
      <c r="C157" s="85"/>
      <c r="D157" s="85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>
      <c r="A158" s="133" t="s">
        <v>203</v>
      </c>
      <c r="B158" s="135" t="s">
        <v>204</v>
      </c>
      <c r="C158" s="85"/>
      <c r="D158" s="85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>
      <c r="A159" s="133" t="s">
        <v>205</v>
      </c>
      <c r="B159" s="135" t="s">
        <v>206</v>
      </c>
      <c r="C159" s="85"/>
      <c r="D159" s="85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>
      <c r="A160" s="133" t="s">
        <v>207</v>
      </c>
      <c r="B160" s="135" t="s">
        <v>208</v>
      </c>
      <c r="C160" s="85"/>
      <c r="D160" s="85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>
      <c r="A161" s="133" t="s">
        <v>209</v>
      </c>
      <c r="B161" s="135" t="s">
        <v>224</v>
      </c>
      <c r="C161" s="85"/>
      <c r="D161" s="85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>
      <c r="A162" s="133" t="s">
        <v>225</v>
      </c>
      <c r="B162" s="135">
        <v>0.0</v>
      </c>
      <c r="C162" s="85"/>
      <c r="D162" s="85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>
      <c r="A163" s="86"/>
      <c r="B163" s="87"/>
      <c r="C163" s="85"/>
      <c r="D163" s="85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>
      <c r="A164" s="86"/>
      <c r="B164" s="87"/>
      <c r="C164" s="85"/>
      <c r="D164" s="85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>
      <c r="A165" s="77" t="s">
        <v>226</v>
      </c>
      <c r="B165" s="87"/>
      <c r="C165" s="85"/>
      <c r="D165" s="85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>
      <c r="A166" s="86"/>
      <c r="B166" s="87"/>
      <c r="C166" s="85"/>
      <c r="D166" s="85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>
      <c r="A167" s="77" t="s">
        <v>227</v>
      </c>
      <c r="B167" s="83" t="s">
        <v>228</v>
      </c>
      <c r="C167" s="85"/>
      <c r="D167" s="85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>
      <c r="A168" s="86"/>
      <c r="B168" s="83" t="s">
        <v>229</v>
      </c>
      <c r="C168" s="85"/>
      <c r="D168" s="85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>
      <c r="A169" s="86"/>
      <c r="B169" s="87"/>
      <c r="C169" s="85"/>
      <c r="D169" s="85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>
      <c r="A170" s="77">
        <v>46000.0</v>
      </c>
      <c r="B170" s="87">
        <f>2840-(3.25%*(46000-46000))</f>
        <v>2840</v>
      </c>
      <c r="C170" s="85"/>
      <c r="D170" s="85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>
      <c r="A171" s="86"/>
      <c r="B171" s="87"/>
      <c r="C171" s="85"/>
      <c r="D171" s="85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>
      <c r="A172" s="86"/>
      <c r="B172" s="87"/>
      <c r="C172" s="85"/>
      <c r="D172" s="85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>
      <c r="A173" s="86"/>
      <c r="B173" s="87"/>
      <c r="C173" s="85"/>
      <c r="D173" s="85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>
      <c r="A174" s="86"/>
      <c r="B174" s="87"/>
      <c r="C174" s="85"/>
      <c r="D174" s="85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>
      <c r="A175" s="86"/>
      <c r="B175" s="87"/>
      <c r="C175" s="85"/>
      <c r="D175" s="85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>
      <c r="A176" s="86"/>
      <c r="B176" s="87"/>
      <c r="C176" s="85"/>
      <c r="D176" s="85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>
      <c r="A177" s="86"/>
      <c r="B177" s="87"/>
      <c r="C177" s="85"/>
      <c r="D177" s="85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>
      <c r="A178" s="86"/>
      <c r="B178" s="87"/>
      <c r="C178" s="85"/>
      <c r="D178" s="85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>
      <c r="A179" s="86"/>
      <c r="B179" s="87"/>
      <c r="C179" s="85"/>
      <c r="D179" s="85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>
      <c r="A180" s="86"/>
      <c r="B180" s="87"/>
      <c r="C180" s="85"/>
      <c r="D180" s="85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>
      <c r="A181" s="86"/>
      <c r="B181" s="87"/>
      <c r="C181" s="85"/>
      <c r="D181" s="85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>
      <c r="A182" s="86"/>
      <c r="B182" s="87"/>
      <c r="C182" s="85"/>
      <c r="D182" s="85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>
      <c r="A183" s="86"/>
      <c r="B183" s="87"/>
      <c r="C183" s="85"/>
      <c r="D183" s="85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>
      <c r="A184" s="86"/>
      <c r="B184" s="87"/>
      <c r="C184" s="85"/>
      <c r="D184" s="85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>
      <c r="A185" s="86"/>
      <c r="B185" s="87"/>
      <c r="C185" s="85"/>
      <c r="D185" s="85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>
      <c r="A186" s="86"/>
      <c r="B186" s="87"/>
      <c r="C186" s="85"/>
      <c r="D186" s="85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>
      <c r="A187" s="86"/>
      <c r="B187" s="87"/>
      <c r="C187" s="85"/>
      <c r="D187" s="85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>
      <c r="A188" s="86"/>
      <c r="B188" s="87"/>
      <c r="C188" s="85"/>
      <c r="D188" s="85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>
      <c r="A189" s="86"/>
      <c r="B189" s="87"/>
      <c r="C189" s="85"/>
      <c r="D189" s="85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>
      <c r="A190" s="86"/>
      <c r="B190" s="87"/>
      <c r="C190" s="85"/>
      <c r="D190" s="85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>
      <c r="A191" s="86"/>
      <c r="B191" s="87"/>
      <c r="C191" s="85"/>
      <c r="D191" s="85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>
      <c r="A192" s="86"/>
      <c r="B192" s="87"/>
      <c r="C192" s="85"/>
      <c r="D192" s="85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>
      <c r="A193" s="86"/>
      <c r="B193" s="87"/>
      <c r="C193" s="85"/>
      <c r="D193" s="85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>
      <c r="A194" s="86"/>
      <c r="B194" s="87"/>
      <c r="C194" s="85"/>
      <c r="D194" s="85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>
      <c r="A195" s="86"/>
      <c r="B195" s="87"/>
      <c r="C195" s="85"/>
      <c r="D195" s="85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>
      <c r="A196" s="86"/>
      <c r="B196" s="87"/>
      <c r="C196" s="85"/>
      <c r="D196" s="85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>
      <c r="A197" s="86"/>
      <c r="B197" s="87"/>
      <c r="C197" s="85"/>
      <c r="D197" s="85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>
      <c r="A198" s="86"/>
      <c r="B198" s="87"/>
      <c r="C198" s="85"/>
      <c r="D198" s="85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>
      <c r="A199" s="86"/>
      <c r="B199" s="87"/>
      <c r="C199" s="85"/>
      <c r="D199" s="85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>
      <c r="A200" s="86"/>
      <c r="B200" s="87"/>
      <c r="C200" s="85"/>
      <c r="D200" s="85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>
      <c r="A201" s="86"/>
      <c r="B201" s="87"/>
      <c r="C201" s="85"/>
      <c r="D201" s="85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>
      <c r="A202" s="86"/>
      <c r="B202" s="87"/>
      <c r="C202" s="85"/>
      <c r="D202" s="85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>
      <c r="A203" s="86"/>
      <c r="B203" s="87"/>
      <c r="C203" s="85"/>
      <c r="D203" s="85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>
      <c r="A204" s="86"/>
      <c r="B204" s="87"/>
      <c r="C204" s="85"/>
      <c r="D204" s="85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>
      <c r="A205" s="86"/>
      <c r="B205" s="87"/>
      <c r="C205" s="85"/>
      <c r="D205" s="85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>
      <c r="A206" s="86"/>
      <c r="B206" s="87"/>
      <c r="C206" s="85"/>
      <c r="D206" s="85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>
      <c r="A207" s="86"/>
      <c r="B207" s="87"/>
      <c r="C207" s="85"/>
      <c r="D207" s="85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>
      <c r="A208" s="86"/>
      <c r="B208" s="87"/>
      <c r="C208" s="85"/>
      <c r="D208" s="85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>
      <c r="A209" s="86"/>
      <c r="B209" s="87"/>
      <c r="C209" s="85"/>
      <c r="D209" s="85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>
      <c r="A210" s="86"/>
      <c r="B210" s="87"/>
      <c r="C210" s="85"/>
      <c r="D210" s="85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>
      <c r="A211" s="86"/>
      <c r="B211" s="87"/>
      <c r="C211" s="85"/>
      <c r="D211" s="85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>
      <c r="A212" s="86"/>
      <c r="B212" s="87"/>
      <c r="C212" s="85"/>
      <c r="D212" s="85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>
      <c r="A213" s="86"/>
      <c r="B213" s="87"/>
      <c r="C213" s="85"/>
      <c r="D213" s="85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>
      <c r="A214" s="86"/>
      <c r="B214" s="87"/>
      <c r="C214" s="85"/>
      <c r="D214" s="85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>
      <c r="A215" s="86"/>
      <c r="B215" s="87"/>
      <c r="C215" s="85"/>
      <c r="D215" s="85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>
      <c r="A216" s="86"/>
      <c r="B216" s="87"/>
      <c r="C216" s="85"/>
      <c r="D216" s="85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>
      <c r="A217" s="86"/>
      <c r="B217" s="87"/>
      <c r="C217" s="85"/>
      <c r="D217" s="85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>
      <c r="A218" s="86"/>
      <c r="B218" s="87"/>
      <c r="C218" s="85"/>
      <c r="D218" s="85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>
      <c r="A219" s="86"/>
      <c r="B219" s="87"/>
      <c r="C219" s="85"/>
      <c r="D219" s="85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>
      <c r="A220" s="86"/>
      <c r="B220" s="87"/>
      <c r="C220" s="85"/>
      <c r="D220" s="85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>
      <c r="A221" s="86"/>
      <c r="B221" s="87"/>
      <c r="C221" s="85"/>
      <c r="D221" s="85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>
      <c r="A222" s="86"/>
      <c r="B222" s="87"/>
      <c r="C222" s="85"/>
      <c r="D222" s="85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>
      <c r="A223" s="86"/>
      <c r="B223" s="87"/>
      <c r="C223" s="85"/>
      <c r="D223" s="85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>
      <c r="A224" s="86"/>
      <c r="B224" s="87"/>
      <c r="C224" s="85"/>
      <c r="D224" s="85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>
      <c r="A225" s="86"/>
      <c r="B225" s="87"/>
      <c r="C225" s="85"/>
      <c r="D225" s="85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>
      <c r="A226" s="86"/>
      <c r="B226" s="87"/>
      <c r="C226" s="85"/>
      <c r="D226" s="85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>
      <c r="A227" s="86"/>
      <c r="B227" s="87"/>
      <c r="C227" s="85"/>
      <c r="D227" s="85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>
      <c r="A228" s="86"/>
      <c r="B228" s="87"/>
      <c r="C228" s="85"/>
      <c r="D228" s="85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>
      <c r="A229" s="86"/>
      <c r="B229" s="87"/>
      <c r="C229" s="85"/>
      <c r="D229" s="85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>
      <c r="A230" s="86"/>
      <c r="B230" s="87"/>
      <c r="C230" s="85"/>
      <c r="D230" s="85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>
      <c r="A231" s="86"/>
      <c r="B231" s="87"/>
      <c r="C231" s="85"/>
      <c r="D231" s="85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>
      <c r="A232" s="86"/>
      <c r="B232" s="87"/>
      <c r="C232" s="85"/>
      <c r="D232" s="85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>
      <c r="A233" s="86"/>
      <c r="B233" s="87"/>
      <c r="C233" s="85"/>
      <c r="D233" s="85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>
      <c r="A234" s="86"/>
      <c r="B234" s="87"/>
      <c r="C234" s="85"/>
      <c r="D234" s="85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>
      <c r="A235" s="86"/>
      <c r="B235" s="87"/>
      <c r="C235" s="85"/>
      <c r="D235" s="85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>
      <c r="A236" s="86"/>
      <c r="B236" s="87"/>
      <c r="C236" s="85"/>
      <c r="D236" s="85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>
      <c r="A237" s="86"/>
      <c r="B237" s="87"/>
      <c r="C237" s="85"/>
      <c r="D237" s="85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>
      <c r="A238" s="86"/>
      <c r="B238" s="87"/>
      <c r="C238" s="85"/>
      <c r="D238" s="85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>
      <c r="A239" s="86"/>
      <c r="B239" s="87"/>
      <c r="C239" s="85"/>
      <c r="D239" s="85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>
      <c r="A240" s="86"/>
      <c r="B240" s="87"/>
      <c r="C240" s="85"/>
      <c r="D240" s="85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>
      <c r="A241" s="86"/>
      <c r="B241" s="87"/>
      <c r="C241" s="85"/>
      <c r="D241" s="85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>
      <c r="A242" s="86"/>
      <c r="B242" s="87"/>
      <c r="C242" s="85"/>
      <c r="D242" s="85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>
      <c r="A243" s="86"/>
      <c r="B243" s="87"/>
      <c r="C243" s="85"/>
      <c r="D243" s="85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>
      <c r="A244" s="86"/>
      <c r="B244" s="87"/>
      <c r="C244" s="85"/>
      <c r="D244" s="85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>
      <c r="A245" s="86"/>
      <c r="B245" s="87"/>
      <c r="C245" s="85"/>
      <c r="D245" s="85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>
      <c r="A246" s="86"/>
      <c r="B246" s="87"/>
      <c r="C246" s="85"/>
      <c r="D246" s="85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>
      <c r="A247" s="86"/>
      <c r="B247" s="87"/>
      <c r="C247" s="85"/>
      <c r="D247" s="85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>
      <c r="A248" s="86"/>
      <c r="B248" s="87"/>
      <c r="C248" s="85"/>
      <c r="D248" s="85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>
      <c r="A249" s="86"/>
      <c r="B249" s="87"/>
      <c r="C249" s="85"/>
      <c r="D249" s="85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>
      <c r="A250" s="86"/>
      <c r="B250" s="87"/>
      <c r="C250" s="85"/>
      <c r="D250" s="85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>
      <c r="A251" s="86"/>
      <c r="B251" s="87"/>
      <c r="C251" s="85"/>
      <c r="D251" s="85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>
      <c r="A252" s="86"/>
      <c r="B252" s="87"/>
      <c r="C252" s="85"/>
      <c r="D252" s="85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>
      <c r="A253" s="86"/>
      <c r="B253" s="87"/>
      <c r="C253" s="85"/>
      <c r="D253" s="85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>
      <c r="A254" s="86"/>
      <c r="B254" s="87"/>
      <c r="C254" s="85"/>
      <c r="D254" s="85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>
      <c r="A255" s="86"/>
      <c r="B255" s="87"/>
      <c r="C255" s="85"/>
      <c r="D255" s="85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>
      <c r="A256" s="86"/>
      <c r="B256" s="87"/>
      <c r="C256" s="85"/>
      <c r="D256" s="85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>
      <c r="A257" s="86"/>
      <c r="B257" s="87"/>
      <c r="C257" s="85"/>
      <c r="D257" s="85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>
      <c r="A258" s="86"/>
      <c r="B258" s="87"/>
      <c r="C258" s="85"/>
      <c r="D258" s="85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>
      <c r="A259" s="86"/>
      <c r="B259" s="87"/>
      <c r="C259" s="85"/>
      <c r="D259" s="85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>
      <c r="A260" s="86"/>
      <c r="B260" s="87"/>
      <c r="C260" s="85"/>
      <c r="D260" s="85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>
      <c r="A261" s="86"/>
      <c r="B261" s="87"/>
      <c r="C261" s="85"/>
      <c r="D261" s="85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>
      <c r="A262" s="86"/>
      <c r="B262" s="87"/>
      <c r="C262" s="85"/>
      <c r="D262" s="85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>
      <c r="A263" s="86"/>
      <c r="B263" s="87"/>
      <c r="C263" s="85"/>
      <c r="D263" s="85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>
      <c r="A264" s="86"/>
      <c r="B264" s="87"/>
      <c r="C264" s="85"/>
      <c r="D264" s="85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>
      <c r="A265" s="86"/>
      <c r="B265" s="87"/>
      <c r="C265" s="85"/>
      <c r="D265" s="85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>
      <c r="A266" s="86"/>
      <c r="B266" s="87"/>
      <c r="C266" s="85"/>
      <c r="D266" s="85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>
      <c r="A267" s="86"/>
      <c r="B267" s="87"/>
      <c r="C267" s="85"/>
      <c r="D267" s="85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>
      <c r="A268" s="86"/>
      <c r="B268" s="87"/>
      <c r="C268" s="85"/>
      <c r="D268" s="85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>
      <c r="A269" s="86"/>
      <c r="B269" s="87"/>
      <c r="C269" s="85"/>
      <c r="D269" s="85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>
      <c r="A270" s="86"/>
      <c r="B270" s="87"/>
      <c r="C270" s="85"/>
      <c r="D270" s="85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>
      <c r="A271" s="86"/>
      <c r="B271" s="87"/>
      <c r="C271" s="85"/>
      <c r="D271" s="85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>
      <c r="A272" s="86"/>
      <c r="B272" s="87"/>
      <c r="C272" s="85"/>
      <c r="D272" s="85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>
      <c r="A273" s="86"/>
      <c r="B273" s="87"/>
      <c r="C273" s="85"/>
      <c r="D273" s="85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>
      <c r="A274" s="86"/>
      <c r="B274" s="87"/>
      <c r="C274" s="85"/>
      <c r="D274" s="85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>
      <c r="A275" s="86"/>
      <c r="B275" s="87"/>
      <c r="C275" s="85"/>
      <c r="D275" s="85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>
      <c r="A276" s="86"/>
      <c r="B276" s="87"/>
      <c r="C276" s="85"/>
      <c r="D276" s="85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>
      <c r="A277" s="86"/>
      <c r="B277" s="87"/>
      <c r="C277" s="85"/>
      <c r="D277" s="85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>
      <c r="A278" s="86"/>
      <c r="B278" s="87"/>
      <c r="C278" s="85"/>
      <c r="D278" s="85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>
      <c r="A279" s="86"/>
      <c r="B279" s="87"/>
      <c r="C279" s="85"/>
      <c r="D279" s="85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>
      <c r="A280" s="86"/>
      <c r="B280" s="87"/>
      <c r="C280" s="85"/>
      <c r="D280" s="85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>
      <c r="A281" s="86"/>
      <c r="B281" s="87"/>
      <c r="C281" s="85"/>
      <c r="D281" s="85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>
      <c r="A282" s="86"/>
      <c r="B282" s="87"/>
      <c r="C282" s="85"/>
      <c r="D282" s="85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>
      <c r="A283" s="86"/>
      <c r="B283" s="87"/>
      <c r="C283" s="85"/>
      <c r="D283" s="85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>
      <c r="A284" s="86"/>
      <c r="B284" s="87"/>
      <c r="C284" s="85"/>
      <c r="D284" s="85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>
      <c r="A285" s="86"/>
      <c r="B285" s="87"/>
      <c r="C285" s="85"/>
      <c r="D285" s="85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>
      <c r="A286" s="86"/>
      <c r="B286" s="87"/>
      <c r="C286" s="85"/>
      <c r="D286" s="85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>
      <c r="A287" s="86"/>
      <c r="B287" s="87"/>
      <c r="C287" s="85"/>
      <c r="D287" s="85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>
      <c r="A288" s="86"/>
      <c r="B288" s="87"/>
      <c r="C288" s="85"/>
      <c r="D288" s="85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>
      <c r="A289" s="86"/>
      <c r="B289" s="87"/>
      <c r="C289" s="85"/>
      <c r="D289" s="85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>
      <c r="A290" s="86"/>
      <c r="B290" s="87"/>
      <c r="C290" s="85"/>
      <c r="D290" s="85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>
      <c r="A291" s="86"/>
      <c r="B291" s="87"/>
      <c r="C291" s="85"/>
      <c r="D291" s="85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>
      <c r="A292" s="86"/>
      <c r="B292" s="87"/>
      <c r="C292" s="85"/>
      <c r="D292" s="85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>
      <c r="A293" s="86"/>
      <c r="B293" s="87"/>
      <c r="C293" s="85"/>
      <c r="D293" s="85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>
      <c r="A294" s="86"/>
      <c r="B294" s="87"/>
      <c r="C294" s="85"/>
      <c r="D294" s="85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>
      <c r="A295" s="86"/>
      <c r="B295" s="87"/>
      <c r="C295" s="85"/>
      <c r="D295" s="85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>
      <c r="A296" s="86"/>
      <c r="B296" s="87"/>
      <c r="C296" s="85"/>
      <c r="D296" s="85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>
      <c r="A297" s="86"/>
      <c r="B297" s="87"/>
      <c r="C297" s="85"/>
      <c r="D297" s="85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>
      <c r="A298" s="86"/>
      <c r="B298" s="87"/>
      <c r="C298" s="85"/>
      <c r="D298" s="85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>
      <c r="A299" s="86"/>
      <c r="B299" s="87"/>
      <c r="C299" s="85"/>
      <c r="D299" s="85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>
      <c r="A300" s="86"/>
      <c r="B300" s="87"/>
      <c r="C300" s="85"/>
      <c r="D300" s="85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>
      <c r="A301" s="86"/>
      <c r="B301" s="87"/>
      <c r="C301" s="85"/>
      <c r="D301" s="85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>
      <c r="A302" s="86"/>
      <c r="B302" s="87"/>
      <c r="C302" s="85"/>
      <c r="D302" s="85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>
      <c r="A303" s="86"/>
      <c r="B303" s="87"/>
      <c r="C303" s="85"/>
      <c r="D303" s="85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>
      <c r="A304" s="86"/>
      <c r="B304" s="87"/>
      <c r="C304" s="85"/>
      <c r="D304" s="85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>
      <c r="A305" s="86"/>
      <c r="B305" s="87"/>
      <c r="C305" s="85"/>
      <c r="D305" s="85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>
      <c r="A306" s="86"/>
      <c r="B306" s="87"/>
      <c r="C306" s="85"/>
      <c r="D306" s="85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>
      <c r="A307" s="86"/>
      <c r="B307" s="87"/>
      <c r="C307" s="85"/>
      <c r="D307" s="85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>
      <c r="A308" s="86"/>
      <c r="B308" s="87"/>
      <c r="C308" s="85"/>
      <c r="D308" s="85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>
      <c r="A309" s="86"/>
      <c r="B309" s="87"/>
      <c r="C309" s="85"/>
      <c r="D309" s="85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>
      <c r="A310" s="86"/>
      <c r="B310" s="87"/>
      <c r="C310" s="85"/>
      <c r="D310" s="85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>
      <c r="A311" s="86"/>
      <c r="B311" s="87"/>
      <c r="C311" s="85"/>
      <c r="D311" s="85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>
      <c r="A312" s="86"/>
      <c r="B312" s="87"/>
      <c r="C312" s="85"/>
      <c r="D312" s="85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>
      <c r="A313" s="86"/>
      <c r="B313" s="87"/>
      <c r="C313" s="85"/>
      <c r="D313" s="85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>
      <c r="A314" s="86"/>
      <c r="B314" s="87"/>
      <c r="C314" s="85"/>
      <c r="D314" s="85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>
      <c r="A315" s="86"/>
      <c r="B315" s="87"/>
      <c r="C315" s="85"/>
      <c r="D315" s="85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>
      <c r="A316" s="86"/>
      <c r="B316" s="87"/>
      <c r="C316" s="85"/>
      <c r="D316" s="85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>
      <c r="A317" s="86"/>
      <c r="B317" s="87"/>
      <c r="C317" s="85"/>
      <c r="D317" s="85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>
      <c r="A318" s="86"/>
      <c r="B318" s="87"/>
      <c r="C318" s="85"/>
      <c r="D318" s="85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>
      <c r="A319" s="86"/>
      <c r="B319" s="87"/>
      <c r="C319" s="85"/>
      <c r="D319" s="85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>
      <c r="A320" s="86"/>
      <c r="B320" s="87"/>
      <c r="C320" s="85"/>
      <c r="D320" s="85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>
      <c r="A321" s="86"/>
      <c r="B321" s="87"/>
      <c r="C321" s="85"/>
      <c r="D321" s="85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>
      <c r="A322" s="86"/>
      <c r="B322" s="87"/>
      <c r="C322" s="85"/>
      <c r="D322" s="85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>
      <c r="A323" s="86"/>
      <c r="B323" s="87"/>
      <c r="C323" s="85"/>
      <c r="D323" s="85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>
      <c r="A324" s="86"/>
      <c r="B324" s="87"/>
      <c r="C324" s="85"/>
      <c r="D324" s="85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>
      <c r="A325" s="86"/>
      <c r="B325" s="87"/>
      <c r="C325" s="85"/>
      <c r="D325" s="85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>
      <c r="A326" s="86"/>
      <c r="B326" s="87"/>
      <c r="C326" s="85"/>
      <c r="D326" s="85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>
      <c r="A327" s="86"/>
      <c r="B327" s="87"/>
      <c r="C327" s="85"/>
      <c r="D327" s="85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>
      <c r="A328" s="86"/>
      <c r="B328" s="87"/>
      <c r="C328" s="85"/>
      <c r="D328" s="85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>
      <c r="A329" s="86"/>
      <c r="B329" s="87"/>
      <c r="C329" s="85"/>
      <c r="D329" s="85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>
      <c r="A330" s="86"/>
      <c r="B330" s="87"/>
      <c r="C330" s="85"/>
      <c r="D330" s="85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>
      <c r="A331" s="86"/>
      <c r="B331" s="87"/>
      <c r="C331" s="85"/>
      <c r="D331" s="85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>
      <c r="A332" s="86"/>
      <c r="B332" s="87"/>
      <c r="C332" s="85"/>
      <c r="D332" s="85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>
      <c r="A333" s="86"/>
      <c r="B333" s="87"/>
      <c r="C333" s="85"/>
      <c r="D333" s="85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>
      <c r="A334" s="86"/>
      <c r="B334" s="87"/>
      <c r="C334" s="85"/>
      <c r="D334" s="85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>
      <c r="A335" s="86"/>
      <c r="B335" s="87"/>
      <c r="C335" s="85"/>
      <c r="D335" s="85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>
      <c r="A336" s="86"/>
      <c r="B336" s="87"/>
      <c r="C336" s="85"/>
      <c r="D336" s="85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>
      <c r="A337" s="86"/>
      <c r="B337" s="87"/>
      <c r="C337" s="85"/>
      <c r="D337" s="85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>
      <c r="A338" s="86"/>
      <c r="B338" s="87"/>
      <c r="C338" s="85"/>
      <c r="D338" s="85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>
      <c r="A339" s="86"/>
      <c r="B339" s="87"/>
      <c r="C339" s="85"/>
      <c r="D339" s="85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>
      <c r="A340" s="86"/>
      <c r="B340" s="87"/>
      <c r="C340" s="85"/>
      <c r="D340" s="85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>
      <c r="A341" s="86"/>
      <c r="B341" s="87"/>
      <c r="C341" s="85"/>
      <c r="D341" s="85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>
      <c r="A342" s="86"/>
      <c r="B342" s="87"/>
      <c r="C342" s="85"/>
      <c r="D342" s="85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>
      <c r="A343" s="86"/>
      <c r="B343" s="87"/>
      <c r="C343" s="85"/>
      <c r="D343" s="85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>
      <c r="A344" s="86"/>
      <c r="B344" s="87"/>
      <c r="C344" s="85"/>
      <c r="D344" s="85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>
      <c r="A345" s="86"/>
      <c r="B345" s="87"/>
      <c r="C345" s="85"/>
      <c r="D345" s="85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>
      <c r="A346" s="86"/>
      <c r="B346" s="87"/>
      <c r="C346" s="85"/>
      <c r="D346" s="85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>
      <c r="A347" s="86"/>
      <c r="B347" s="87"/>
      <c r="C347" s="85"/>
      <c r="D347" s="85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>
      <c r="A348" s="86"/>
      <c r="B348" s="87"/>
      <c r="C348" s="85"/>
      <c r="D348" s="85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>
      <c r="A349" s="86"/>
      <c r="B349" s="87"/>
      <c r="C349" s="85"/>
      <c r="D349" s="85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>
      <c r="A350" s="86"/>
      <c r="B350" s="87"/>
      <c r="C350" s="85"/>
      <c r="D350" s="85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>
      <c r="A351" s="86"/>
      <c r="B351" s="87"/>
      <c r="C351" s="85"/>
      <c r="D351" s="85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>
      <c r="A352" s="86"/>
      <c r="B352" s="87"/>
      <c r="C352" s="85"/>
      <c r="D352" s="85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>
      <c r="A353" s="86"/>
      <c r="B353" s="87"/>
      <c r="C353" s="85"/>
      <c r="D353" s="85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>
      <c r="A354" s="86"/>
      <c r="B354" s="87"/>
      <c r="C354" s="85"/>
      <c r="D354" s="85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>
      <c r="A355" s="86"/>
      <c r="B355" s="87"/>
      <c r="C355" s="85"/>
      <c r="D355" s="85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>
      <c r="A356" s="86"/>
      <c r="B356" s="87"/>
      <c r="C356" s="85"/>
      <c r="D356" s="85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>
      <c r="A357" s="86"/>
      <c r="B357" s="87"/>
      <c r="C357" s="85"/>
      <c r="D357" s="85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>
      <c r="A358" s="86"/>
      <c r="B358" s="87"/>
      <c r="C358" s="85"/>
      <c r="D358" s="85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>
      <c r="A359" s="86"/>
      <c r="B359" s="87"/>
      <c r="C359" s="85"/>
      <c r="D359" s="85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>
      <c r="A360" s="86"/>
      <c r="B360" s="87"/>
      <c r="C360" s="85"/>
      <c r="D360" s="85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>
      <c r="A361" s="86"/>
      <c r="B361" s="87"/>
      <c r="C361" s="85"/>
      <c r="D361" s="85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>
      <c r="A362" s="86"/>
      <c r="B362" s="87"/>
      <c r="C362" s="85"/>
      <c r="D362" s="85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>
      <c r="A363" s="86"/>
      <c r="B363" s="87"/>
      <c r="C363" s="85"/>
      <c r="D363" s="85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>
      <c r="A364" s="86"/>
      <c r="B364" s="87"/>
      <c r="C364" s="85"/>
      <c r="D364" s="85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>
      <c r="A365" s="86"/>
      <c r="B365" s="87"/>
      <c r="C365" s="85"/>
      <c r="D365" s="85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>
      <c r="A366" s="86"/>
      <c r="B366" s="87"/>
      <c r="C366" s="85"/>
      <c r="D366" s="85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>
      <c r="A367" s="86"/>
      <c r="B367" s="87"/>
      <c r="C367" s="85"/>
      <c r="D367" s="85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>
      <c r="A368" s="86"/>
      <c r="B368" s="87"/>
      <c r="C368" s="85"/>
      <c r="D368" s="85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>
      <c r="A369" s="86"/>
      <c r="B369" s="87"/>
      <c r="C369" s="85"/>
      <c r="D369" s="85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>
      <c r="A370" s="86"/>
      <c r="B370" s="87"/>
      <c r="C370" s="85"/>
      <c r="D370" s="85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>
      <c r="A371" s="86"/>
      <c r="B371" s="87"/>
      <c r="C371" s="85"/>
      <c r="D371" s="85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>
      <c r="A372" s="86"/>
      <c r="B372" s="87"/>
      <c r="C372" s="85"/>
      <c r="D372" s="85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>
      <c r="A373" s="86"/>
      <c r="B373" s="87"/>
      <c r="C373" s="85"/>
      <c r="D373" s="85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>
      <c r="A374" s="86"/>
      <c r="B374" s="87"/>
      <c r="C374" s="85"/>
      <c r="D374" s="85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>
      <c r="A375" s="86"/>
      <c r="B375" s="87"/>
      <c r="C375" s="85"/>
      <c r="D375" s="85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>
      <c r="A376" s="86"/>
      <c r="B376" s="87"/>
      <c r="C376" s="85"/>
      <c r="D376" s="85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>
      <c r="A377" s="86"/>
      <c r="B377" s="87"/>
      <c r="C377" s="85"/>
      <c r="D377" s="85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>
      <c r="A378" s="86"/>
      <c r="B378" s="87"/>
      <c r="C378" s="85"/>
      <c r="D378" s="85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>
      <c r="A379" s="86"/>
      <c r="B379" s="87"/>
      <c r="C379" s="85"/>
      <c r="D379" s="85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>
      <c r="A380" s="86"/>
      <c r="B380" s="87"/>
      <c r="C380" s="85"/>
      <c r="D380" s="85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>
      <c r="A381" s="86"/>
      <c r="B381" s="87"/>
      <c r="C381" s="85"/>
      <c r="D381" s="85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>
      <c r="A382" s="86"/>
      <c r="B382" s="87"/>
      <c r="C382" s="85"/>
      <c r="D382" s="85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>
      <c r="A383" s="86"/>
      <c r="B383" s="87"/>
      <c r="C383" s="85"/>
      <c r="D383" s="85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>
      <c r="A384" s="86"/>
      <c r="B384" s="87"/>
      <c r="C384" s="85"/>
      <c r="D384" s="85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>
      <c r="A385" s="86"/>
      <c r="B385" s="87"/>
      <c r="C385" s="85"/>
      <c r="D385" s="85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>
      <c r="A386" s="86"/>
      <c r="B386" s="87"/>
      <c r="C386" s="85"/>
      <c r="D386" s="85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>
      <c r="A387" s="86"/>
      <c r="B387" s="87"/>
      <c r="C387" s="85"/>
      <c r="D387" s="85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>
      <c r="A388" s="86"/>
      <c r="B388" s="87"/>
      <c r="C388" s="85"/>
      <c r="D388" s="85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>
      <c r="A389" s="86"/>
      <c r="B389" s="87"/>
      <c r="C389" s="85"/>
      <c r="D389" s="85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>
      <c r="A390" s="86"/>
      <c r="B390" s="87"/>
      <c r="C390" s="85"/>
      <c r="D390" s="85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>
      <c r="A391" s="86"/>
      <c r="B391" s="87"/>
      <c r="C391" s="85"/>
      <c r="D391" s="85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>
      <c r="A392" s="86"/>
      <c r="B392" s="87"/>
      <c r="C392" s="85"/>
      <c r="D392" s="85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>
      <c r="A393" s="86"/>
      <c r="B393" s="87"/>
      <c r="C393" s="85"/>
      <c r="D393" s="85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>
      <c r="A394" s="86"/>
      <c r="B394" s="87"/>
      <c r="C394" s="85"/>
      <c r="D394" s="85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>
      <c r="A395" s="86"/>
      <c r="B395" s="87"/>
      <c r="C395" s="85"/>
      <c r="D395" s="85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>
      <c r="A396" s="86"/>
      <c r="B396" s="87"/>
      <c r="C396" s="85"/>
      <c r="D396" s="85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>
      <c r="A397" s="86"/>
      <c r="B397" s="87"/>
      <c r="C397" s="85"/>
      <c r="D397" s="85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>
      <c r="A398" s="86"/>
      <c r="B398" s="87"/>
      <c r="C398" s="85"/>
      <c r="D398" s="85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>
      <c r="A399" s="86"/>
      <c r="B399" s="87"/>
      <c r="C399" s="85"/>
      <c r="D399" s="85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>
      <c r="A400" s="86"/>
      <c r="B400" s="87"/>
      <c r="C400" s="85"/>
      <c r="D400" s="85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>
      <c r="A401" s="86"/>
      <c r="B401" s="87"/>
      <c r="C401" s="85"/>
      <c r="D401" s="85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>
      <c r="A402" s="86"/>
      <c r="B402" s="87"/>
      <c r="C402" s="85"/>
      <c r="D402" s="85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>
      <c r="A403" s="86"/>
      <c r="B403" s="87"/>
      <c r="C403" s="85"/>
      <c r="D403" s="85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>
      <c r="A404" s="86"/>
      <c r="B404" s="87"/>
      <c r="C404" s="85"/>
      <c r="D404" s="85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>
      <c r="A405" s="86"/>
      <c r="B405" s="87"/>
      <c r="C405" s="85"/>
      <c r="D405" s="85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>
      <c r="A406" s="86"/>
      <c r="B406" s="87"/>
      <c r="C406" s="85"/>
      <c r="D406" s="85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>
      <c r="A407" s="86"/>
      <c r="B407" s="87"/>
      <c r="C407" s="85"/>
      <c r="D407" s="85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>
      <c r="A408" s="86"/>
      <c r="B408" s="87"/>
      <c r="C408" s="85"/>
      <c r="D408" s="85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>
      <c r="A409" s="86"/>
      <c r="B409" s="87"/>
      <c r="C409" s="85"/>
      <c r="D409" s="85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>
      <c r="A410" s="86"/>
      <c r="B410" s="87"/>
      <c r="C410" s="85"/>
      <c r="D410" s="85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>
      <c r="A411" s="86"/>
      <c r="B411" s="87"/>
      <c r="C411" s="85"/>
      <c r="D411" s="85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>
      <c r="A412" s="86"/>
      <c r="B412" s="87"/>
      <c r="C412" s="85"/>
      <c r="D412" s="85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>
      <c r="A413" s="86"/>
      <c r="B413" s="87"/>
      <c r="C413" s="85"/>
      <c r="D413" s="85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>
      <c r="A414" s="86"/>
      <c r="B414" s="87"/>
      <c r="C414" s="85"/>
      <c r="D414" s="85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>
      <c r="A415" s="86"/>
      <c r="B415" s="87"/>
      <c r="C415" s="85"/>
      <c r="D415" s="85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>
      <c r="A416" s="86"/>
      <c r="B416" s="87"/>
      <c r="C416" s="85"/>
      <c r="D416" s="85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>
      <c r="A417" s="86"/>
      <c r="B417" s="87"/>
      <c r="C417" s="85"/>
      <c r="D417" s="85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>
      <c r="A418" s="86"/>
      <c r="B418" s="87"/>
      <c r="C418" s="85"/>
      <c r="D418" s="85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>
      <c r="A419" s="86"/>
      <c r="B419" s="87"/>
      <c r="C419" s="85"/>
      <c r="D419" s="85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>
      <c r="A420" s="86"/>
      <c r="B420" s="87"/>
      <c r="C420" s="85"/>
      <c r="D420" s="85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>
      <c r="A421" s="86"/>
      <c r="B421" s="87"/>
      <c r="C421" s="85"/>
      <c r="D421" s="85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>
      <c r="A422" s="86"/>
      <c r="B422" s="87"/>
      <c r="C422" s="85"/>
      <c r="D422" s="85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>
      <c r="A423" s="86"/>
      <c r="B423" s="87"/>
      <c r="C423" s="85"/>
      <c r="D423" s="85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>
      <c r="A424" s="86"/>
      <c r="B424" s="87"/>
      <c r="C424" s="85"/>
      <c r="D424" s="85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>
      <c r="A425" s="86"/>
      <c r="B425" s="87"/>
      <c r="C425" s="85"/>
      <c r="D425" s="85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>
      <c r="A426" s="86"/>
      <c r="B426" s="87"/>
      <c r="C426" s="85"/>
      <c r="D426" s="85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>
      <c r="A427" s="86"/>
      <c r="B427" s="87"/>
      <c r="C427" s="85"/>
      <c r="D427" s="85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>
      <c r="A428" s="86"/>
      <c r="B428" s="87"/>
      <c r="C428" s="85"/>
      <c r="D428" s="85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>
      <c r="A429" s="86"/>
      <c r="B429" s="87"/>
      <c r="C429" s="85"/>
      <c r="D429" s="85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>
      <c r="A430" s="86"/>
      <c r="B430" s="87"/>
      <c r="C430" s="85"/>
      <c r="D430" s="85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>
      <c r="A431" s="86"/>
      <c r="B431" s="87"/>
      <c r="C431" s="85"/>
      <c r="D431" s="85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>
      <c r="A432" s="86"/>
      <c r="B432" s="87"/>
      <c r="C432" s="85"/>
      <c r="D432" s="85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>
      <c r="A433" s="86"/>
      <c r="B433" s="87"/>
      <c r="C433" s="85"/>
      <c r="D433" s="85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>
      <c r="A434" s="86"/>
      <c r="B434" s="87"/>
      <c r="C434" s="85"/>
      <c r="D434" s="85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>
      <c r="A435" s="86"/>
      <c r="B435" s="87"/>
      <c r="C435" s="85"/>
      <c r="D435" s="85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>
      <c r="A436" s="86"/>
      <c r="B436" s="87"/>
      <c r="C436" s="85"/>
      <c r="D436" s="85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>
      <c r="A437" s="86"/>
      <c r="B437" s="87"/>
      <c r="C437" s="85"/>
      <c r="D437" s="85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>
      <c r="A438" s="86"/>
      <c r="B438" s="87"/>
      <c r="C438" s="85"/>
      <c r="D438" s="85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>
      <c r="A439" s="86"/>
      <c r="B439" s="87"/>
      <c r="C439" s="85"/>
      <c r="D439" s="85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>
      <c r="A440" s="86"/>
      <c r="B440" s="87"/>
      <c r="C440" s="85"/>
      <c r="D440" s="85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>
      <c r="A441" s="86"/>
      <c r="B441" s="87"/>
      <c r="C441" s="85"/>
      <c r="D441" s="85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>
      <c r="A442" s="86"/>
      <c r="B442" s="87"/>
      <c r="C442" s="85"/>
      <c r="D442" s="85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>
      <c r="A443" s="86"/>
      <c r="B443" s="87"/>
      <c r="C443" s="85"/>
      <c r="D443" s="85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>
      <c r="A444" s="86"/>
      <c r="B444" s="87"/>
      <c r="C444" s="85"/>
      <c r="D444" s="85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>
      <c r="A445" s="86"/>
      <c r="B445" s="87"/>
      <c r="C445" s="85"/>
      <c r="D445" s="85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>
      <c r="A446" s="86"/>
      <c r="B446" s="87"/>
      <c r="C446" s="85"/>
      <c r="D446" s="85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>
      <c r="A447" s="86"/>
      <c r="B447" s="87"/>
      <c r="C447" s="85"/>
      <c r="D447" s="85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>
      <c r="A448" s="86"/>
      <c r="B448" s="87"/>
      <c r="C448" s="85"/>
      <c r="D448" s="85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>
      <c r="A449" s="86"/>
      <c r="B449" s="87"/>
      <c r="C449" s="85"/>
      <c r="D449" s="85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>
      <c r="A450" s="86"/>
      <c r="B450" s="87"/>
      <c r="C450" s="85"/>
      <c r="D450" s="85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>
      <c r="A451" s="86"/>
      <c r="B451" s="87"/>
      <c r="C451" s="85"/>
      <c r="D451" s="85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>
      <c r="A452" s="86"/>
      <c r="B452" s="87"/>
      <c r="C452" s="85"/>
      <c r="D452" s="85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>
      <c r="A453" s="86"/>
      <c r="B453" s="87"/>
      <c r="C453" s="85"/>
      <c r="D453" s="85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>
      <c r="A454" s="86"/>
      <c r="B454" s="87"/>
      <c r="C454" s="85"/>
      <c r="D454" s="85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>
      <c r="A455" s="86"/>
      <c r="B455" s="87"/>
      <c r="C455" s="85"/>
      <c r="D455" s="85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>
      <c r="A456" s="86"/>
      <c r="B456" s="87"/>
      <c r="C456" s="85"/>
      <c r="D456" s="85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>
      <c r="A457" s="86"/>
      <c r="B457" s="87"/>
      <c r="C457" s="85"/>
      <c r="D457" s="85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>
      <c r="A458" s="86"/>
      <c r="B458" s="87"/>
      <c r="C458" s="85"/>
      <c r="D458" s="85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>
      <c r="A459" s="86"/>
      <c r="B459" s="87"/>
      <c r="C459" s="85"/>
      <c r="D459" s="85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>
      <c r="A460" s="86"/>
      <c r="B460" s="87"/>
      <c r="C460" s="85"/>
      <c r="D460" s="85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>
      <c r="A461" s="86"/>
      <c r="B461" s="87"/>
      <c r="C461" s="85"/>
      <c r="D461" s="85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>
      <c r="A462" s="86"/>
      <c r="B462" s="87"/>
      <c r="C462" s="85"/>
      <c r="D462" s="85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>
      <c r="A463" s="86"/>
      <c r="B463" s="87"/>
      <c r="C463" s="85"/>
      <c r="D463" s="85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>
      <c r="A464" s="86"/>
      <c r="B464" s="87"/>
      <c r="C464" s="85"/>
      <c r="D464" s="85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>
      <c r="A465" s="86"/>
      <c r="B465" s="87"/>
      <c r="C465" s="85"/>
      <c r="D465" s="85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>
      <c r="A466" s="86"/>
      <c r="B466" s="87"/>
      <c r="C466" s="85"/>
      <c r="D466" s="85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>
      <c r="A467" s="86"/>
      <c r="B467" s="87"/>
      <c r="C467" s="85"/>
      <c r="D467" s="85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>
      <c r="A468" s="86"/>
      <c r="B468" s="87"/>
      <c r="C468" s="85"/>
      <c r="D468" s="85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>
      <c r="A469" s="86"/>
      <c r="B469" s="87"/>
      <c r="C469" s="85"/>
      <c r="D469" s="85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>
      <c r="A470" s="86"/>
      <c r="B470" s="87"/>
      <c r="C470" s="85"/>
      <c r="D470" s="85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>
      <c r="A471" s="86"/>
      <c r="B471" s="87"/>
      <c r="C471" s="85"/>
      <c r="D471" s="85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>
      <c r="A472" s="86"/>
      <c r="B472" s="87"/>
      <c r="C472" s="85"/>
      <c r="D472" s="85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>
      <c r="A473" s="86"/>
      <c r="B473" s="87"/>
      <c r="C473" s="85"/>
      <c r="D473" s="85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>
      <c r="A474" s="86"/>
      <c r="B474" s="87"/>
      <c r="C474" s="85"/>
      <c r="D474" s="85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>
      <c r="A475" s="86"/>
      <c r="B475" s="87"/>
      <c r="C475" s="85"/>
      <c r="D475" s="85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>
      <c r="A476" s="86"/>
      <c r="B476" s="87"/>
      <c r="C476" s="85"/>
      <c r="D476" s="85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>
      <c r="A477" s="86"/>
      <c r="B477" s="87"/>
      <c r="C477" s="85"/>
      <c r="D477" s="85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>
      <c r="A478" s="86"/>
      <c r="B478" s="87"/>
      <c r="C478" s="85"/>
      <c r="D478" s="85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>
      <c r="A479" s="86"/>
      <c r="B479" s="87"/>
      <c r="C479" s="85"/>
      <c r="D479" s="85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>
      <c r="A480" s="86"/>
      <c r="B480" s="87"/>
      <c r="C480" s="85"/>
      <c r="D480" s="85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>
      <c r="A481" s="86"/>
      <c r="B481" s="87"/>
      <c r="C481" s="85"/>
      <c r="D481" s="85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>
      <c r="A482" s="86"/>
      <c r="B482" s="87"/>
      <c r="C482" s="85"/>
      <c r="D482" s="85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>
      <c r="A483" s="86"/>
      <c r="B483" s="87"/>
      <c r="C483" s="85"/>
      <c r="D483" s="85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>
      <c r="A484" s="86"/>
      <c r="B484" s="87"/>
      <c r="C484" s="85"/>
      <c r="D484" s="85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>
      <c r="A485" s="86"/>
      <c r="B485" s="87"/>
      <c r="C485" s="85"/>
      <c r="D485" s="85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>
      <c r="A486" s="86"/>
      <c r="B486" s="87"/>
      <c r="C486" s="85"/>
      <c r="D486" s="85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>
      <c r="A487" s="86"/>
      <c r="B487" s="87"/>
      <c r="C487" s="85"/>
      <c r="D487" s="85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>
      <c r="A488" s="86"/>
      <c r="B488" s="87"/>
      <c r="C488" s="85"/>
      <c r="D488" s="85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>
      <c r="A489" s="86"/>
      <c r="B489" s="87"/>
      <c r="C489" s="85"/>
      <c r="D489" s="85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>
      <c r="A490" s="86"/>
      <c r="B490" s="87"/>
      <c r="C490" s="85"/>
      <c r="D490" s="85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>
      <c r="A491" s="86"/>
      <c r="B491" s="87"/>
      <c r="C491" s="85"/>
      <c r="D491" s="85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>
      <c r="A492" s="86"/>
      <c r="B492" s="87"/>
      <c r="C492" s="85"/>
      <c r="D492" s="85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>
      <c r="A493" s="86"/>
      <c r="B493" s="87"/>
      <c r="C493" s="85"/>
      <c r="D493" s="85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>
      <c r="A494" s="86"/>
      <c r="B494" s="87"/>
      <c r="C494" s="85"/>
      <c r="D494" s="85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>
      <c r="A495" s="86"/>
      <c r="B495" s="87"/>
      <c r="C495" s="85"/>
      <c r="D495" s="85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>
      <c r="A496" s="86"/>
      <c r="B496" s="87"/>
      <c r="C496" s="85"/>
      <c r="D496" s="85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>
      <c r="A497" s="86"/>
      <c r="B497" s="87"/>
      <c r="C497" s="85"/>
      <c r="D497" s="85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>
      <c r="A498" s="86"/>
      <c r="B498" s="87"/>
      <c r="C498" s="85"/>
      <c r="D498" s="85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>
      <c r="A499" s="86"/>
      <c r="B499" s="87"/>
      <c r="C499" s="85"/>
      <c r="D499" s="85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>
      <c r="A500" s="86"/>
      <c r="B500" s="87"/>
      <c r="C500" s="85"/>
      <c r="D500" s="85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>
      <c r="A501" s="86"/>
      <c r="B501" s="87"/>
      <c r="C501" s="85"/>
      <c r="D501" s="85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>
      <c r="A502" s="86"/>
      <c r="B502" s="87"/>
      <c r="C502" s="85"/>
      <c r="D502" s="85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>
      <c r="A503" s="86"/>
      <c r="B503" s="87"/>
      <c r="C503" s="85"/>
      <c r="D503" s="85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>
      <c r="A504" s="86"/>
      <c r="B504" s="87"/>
      <c r="C504" s="85"/>
      <c r="D504" s="85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>
      <c r="A505" s="86"/>
      <c r="B505" s="87"/>
      <c r="C505" s="85"/>
      <c r="D505" s="85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>
      <c r="A506" s="86"/>
      <c r="B506" s="87"/>
      <c r="C506" s="85"/>
      <c r="D506" s="85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>
      <c r="A507" s="86"/>
      <c r="B507" s="87"/>
      <c r="C507" s="85"/>
      <c r="D507" s="85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>
      <c r="A508" s="86"/>
      <c r="B508" s="87"/>
      <c r="C508" s="85"/>
      <c r="D508" s="85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>
      <c r="A509" s="86"/>
      <c r="B509" s="87"/>
      <c r="C509" s="85"/>
      <c r="D509" s="85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>
      <c r="A510" s="86"/>
      <c r="B510" s="87"/>
      <c r="C510" s="85"/>
      <c r="D510" s="85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>
      <c r="A511" s="86"/>
      <c r="B511" s="87"/>
      <c r="C511" s="85"/>
      <c r="D511" s="85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>
      <c r="A512" s="86"/>
      <c r="B512" s="87"/>
      <c r="C512" s="85"/>
      <c r="D512" s="85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>
      <c r="A513" s="86"/>
      <c r="B513" s="87"/>
      <c r="C513" s="85"/>
      <c r="D513" s="85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>
      <c r="A514" s="86"/>
      <c r="B514" s="87"/>
      <c r="C514" s="85"/>
      <c r="D514" s="85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>
      <c r="A515" s="86"/>
      <c r="B515" s="87"/>
      <c r="C515" s="85"/>
      <c r="D515" s="85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>
      <c r="A516" s="86"/>
      <c r="B516" s="87"/>
      <c r="C516" s="85"/>
      <c r="D516" s="85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>
      <c r="A517" s="86"/>
      <c r="B517" s="87"/>
      <c r="C517" s="85"/>
      <c r="D517" s="85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>
      <c r="A518" s="86"/>
      <c r="B518" s="87"/>
      <c r="C518" s="85"/>
      <c r="D518" s="85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>
      <c r="A519" s="86"/>
      <c r="B519" s="87"/>
      <c r="C519" s="85"/>
      <c r="D519" s="85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>
      <c r="A520" s="86"/>
      <c r="B520" s="87"/>
      <c r="C520" s="85"/>
      <c r="D520" s="85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>
      <c r="A521" s="86"/>
      <c r="B521" s="87"/>
      <c r="C521" s="85"/>
      <c r="D521" s="85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>
      <c r="A522" s="86"/>
      <c r="B522" s="87"/>
      <c r="C522" s="85"/>
      <c r="D522" s="85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>
      <c r="A523" s="86"/>
      <c r="B523" s="87"/>
      <c r="C523" s="85"/>
      <c r="D523" s="85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>
      <c r="A524" s="86"/>
      <c r="B524" s="87"/>
      <c r="C524" s="85"/>
      <c r="D524" s="85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>
      <c r="A525" s="86"/>
      <c r="B525" s="87"/>
      <c r="C525" s="85"/>
      <c r="D525" s="85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>
      <c r="A526" s="86"/>
      <c r="B526" s="87"/>
      <c r="C526" s="85"/>
      <c r="D526" s="85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>
      <c r="A527" s="86"/>
      <c r="B527" s="87"/>
      <c r="C527" s="85"/>
      <c r="D527" s="85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>
      <c r="A528" s="86"/>
      <c r="B528" s="87"/>
      <c r="C528" s="85"/>
      <c r="D528" s="85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>
      <c r="A529" s="86"/>
      <c r="B529" s="87"/>
      <c r="C529" s="85"/>
      <c r="D529" s="85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>
      <c r="A530" s="86"/>
      <c r="B530" s="87"/>
      <c r="C530" s="85"/>
      <c r="D530" s="85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>
      <c r="A531" s="86"/>
      <c r="B531" s="87"/>
      <c r="C531" s="85"/>
      <c r="D531" s="85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>
      <c r="A532" s="86"/>
      <c r="B532" s="87"/>
      <c r="C532" s="85"/>
      <c r="D532" s="85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>
      <c r="A533" s="86"/>
      <c r="B533" s="87"/>
      <c r="C533" s="85"/>
      <c r="D533" s="85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>
      <c r="A534" s="86"/>
      <c r="B534" s="87"/>
      <c r="C534" s="85"/>
      <c r="D534" s="85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>
      <c r="A535" s="86"/>
      <c r="B535" s="87"/>
      <c r="C535" s="85"/>
      <c r="D535" s="85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>
      <c r="A536" s="86"/>
      <c r="B536" s="87"/>
      <c r="C536" s="85"/>
      <c r="D536" s="85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>
      <c r="A537" s="86"/>
      <c r="B537" s="87"/>
      <c r="C537" s="85"/>
      <c r="D537" s="85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>
      <c r="A538" s="86"/>
      <c r="B538" s="87"/>
      <c r="C538" s="85"/>
      <c r="D538" s="85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>
      <c r="A539" s="86"/>
      <c r="B539" s="87"/>
      <c r="C539" s="85"/>
      <c r="D539" s="85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>
      <c r="A540" s="86"/>
      <c r="B540" s="87"/>
      <c r="C540" s="85"/>
      <c r="D540" s="85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>
      <c r="A541" s="86"/>
      <c r="B541" s="87"/>
      <c r="C541" s="85"/>
      <c r="D541" s="85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>
      <c r="A542" s="86"/>
      <c r="B542" s="87"/>
      <c r="C542" s="85"/>
      <c r="D542" s="85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>
      <c r="A543" s="86"/>
      <c r="B543" s="87"/>
      <c r="C543" s="85"/>
      <c r="D543" s="85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>
      <c r="A544" s="86"/>
      <c r="B544" s="87"/>
      <c r="C544" s="85"/>
      <c r="D544" s="85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>
      <c r="A545" s="86"/>
      <c r="B545" s="87"/>
      <c r="C545" s="85"/>
      <c r="D545" s="85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>
      <c r="A546" s="86"/>
      <c r="B546" s="87"/>
      <c r="C546" s="85"/>
      <c r="D546" s="85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>
      <c r="A547" s="86"/>
      <c r="B547" s="87"/>
      <c r="C547" s="85"/>
      <c r="D547" s="85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>
      <c r="A548" s="86"/>
      <c r="B548" s="87"/>
      <c r="C548" s="85"/>
      <c r="D548" s="85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>
      <c r="A549" s="86"/>
      <c r="B549" s="87"/>
      <c r="C549" s="85"/>
      <c r="D549" s="85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>
      <c r="A550" s="86"/>
      <c r="B550" s="87"/>
      <c r="C550" s="85"/>
      <c r="D550" s="85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>
      <c r="A551" s="86"/>
      <c r="B551" s="87"/>
      <c r="C551" s="85"/>
      <c r="D551" s="85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>
      <c r="A552" s="86"/>
      <c r="B552" s="87"/>
      <c r="C552" s="85"/>
      <c r="D552" s="85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>
      <c r="A553" s="86"/>
      <c r="B553" s="87"/>
      <c r="C553" s="85"/>
      <c r="D553" s="85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>
      <c r="A554" s="86"/>
      <c r="B554" s="87"/>
      <c r="C554" s="85"/>
      <c r="D554" s="85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>
      <c r="A555" s="86"/>
      <c r="B555" s="87"/>
      <c r="C555" s="85"/>
      <c r="D555" s="85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>
      <c r="A556" s="86"/>
      <c r="B556" s="87"/>
      <c r="C556" s="85"/>
      <c r="D556" s="85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>
      <c r="A557" s="86"/>
      <c r="B557" s="87"/>
      <c r="C557" s="85"/>
      <c r="D557" s="85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>
      <c r="A558" s="86"/>
      <c r="B558" s="87"/>
      <c r="C558" s="85"/>
      <c r="D558" s="85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>
      <c r="A559" s="86"/>
      <c r="B559" s="87"/>
      <c r="C559" s="85"/>
      <c r="D559" s="85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>
      <c r="A560" s="86"/>
      <c r="B560" s="87"/>
      <c r="C560" s="85"/>
      <c r="D560" s="85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>
      <c r="A561" s="86"/>
      <c r="B561" s="87"/>
      <c r="C561" s="85"/>
      <c r="D561" s="85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>
      <c r="A562" s="86"/>
      <c r="B562" s="87"/>
      <c r="C562" s="85"/>
      <c r="D562" s="85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>
      <c r="A563" s="86"/>
      <c r="B563" s="87"/>
      <c r="C563" s="85"/>
      <c r="D563" s="85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>
      <c r="A564" s="86"/>
      <c r="B564" s="87"/>
      <c r="C564" s="85"/>
      <c r="D564" s="85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>
      <c r="A565" s="86"/>
      <c r="B565" s="87"/>
      <c r="C565" s="85"/>
      <c r="D565" s="85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>
      <c r="A566" s="86"/>
      <c r="B566" s="87"/>
      <c r="C566" s="85"/>
      <c r="D566" s="85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>
      <c r="A567" s="86"/>
      <c r="B567" s="87"/>
      <c r="C567" s="85"/>
      <c r="D567" s="85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>
      <c r="A568" s="86"/>
      <c r="B568" s="87"/>
      <c r="C568" s="85"/>
      <c r="D568" s="85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>
      <c r="A569" s="86"/>
      <c r="B569" s="87"/>
      <c r="C569" s="85"/>
      <c r="D569" s="85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>
      <c r="A570" s="86"/>
      <c r="B570" s="87"/>
      <c r="C570" s="85"/>
      <c r="D570" s="85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>
      <c r="A571" s="86"/>
      <c r="B571" s="87"/>
      <c r="C571" s="85"/>
      <c r="D571" s="85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>
      <c r="A572" s="86"/>
      <c r="B572" s="87"/>
      <c r="C572" s="85"/>
      <c r="D572" s="85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>
      <c r="A573" s="86"/>
      <c r="B573" s="87"/>
      <c r="C573" s="85"/>
      <c r="D573" s="85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>
      <c r="A574" s="86"/>
      <c r="B574" s="87"/>
      <c r="C574" s="85"/>
      <c r="D574" s="85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>
      <c r="A575" s="86"/>
      <c r="B575" s="87"/>
      <c r="C575" s="85"/>
      <c r="D575" s="85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>
      <c r="A576" s="86"/>
      <c r="B576" s="87"/>
      <c r="C576" s="85"/>
      <c r="D576" s="85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>
      <c r="A577" s="86"/>
      <c r="B577" s="87"/>
      <c r="C577" s="85"/>
      <c r="D577" s="85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>
      <c r="A578" s="86"/>
      <c r="B578" s="87"/>
      <c r="C578" s="85"/>
      <c r="D578" s="85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>
      <c r="A579" s="86"/>
      <c r="B579" s="87"/>
      <c r="C579" s="85"/>
      <c r="D579" s="85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>
      <c r="A580" s="86"/>
      <c r="B580" s="87"/>
      <c r="C580" s="85"/>
      <c r="D580" s="85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>
      <c r="A581" s="86"/>
      <c r="B581" s="87"/>
      <c r="C581" s="85"/>
      <c r="D581" s="85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>
      <c r="A582" s="86"/>
      <c r="B582" s="87"/>
      <c r="C582" s="85"/>
      <c r="D582" s="85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>
      <c r="A583" s="86"/>
      <c r="B583" s="87"/>
      <c r="C583" s="85"/>
      <c r="D583" s="85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>
      <c r="A584" s="86"/>
      <c r="B584" s="87"/>
      <c r="C584" s="85"/>
      <c r="D584" s="85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>
      <c r="A585" s="86"/>
      <c r="B585" s="87"/>
      <c r="C585" s="85"/>
      <c r="D585" s="85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>
      <c r="A586" s="86"/>
      <c r="B586" s="87"/>
      <c r="C586" s="85"/>
      <c r="D586" s="85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>
      <c r="A587" s="86"/>
      <c r="B587" s="87"/>
      <c r="C587" s="85"/>
      <c r="D587" s="85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>
      <c r="A588" s="86"/>
      <c r="B588" s="87"/>
      <c r="C588" s="85"/>
      <c r="D588" s="85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>
      <c r="A589" s="86"/>
      <c r="B589" s="87"/>
      <c r="C589" s="85"/>
      <c r="D589" s="85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>
      <c r="A590" s="86"/>
      <c r="B590" s="87"/>
      <c r="C590" s="85"/>
      <c r="D590" s="85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>
      <c r="A591" s="86"/>
      <c r="B591" s="87"/>
      <c r="C591" s="85"/>
      <c r="D591" s="85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>
      <c r="A592" s="86"/>
      <c r="B592" s="87"/>
      <c r="C592" s="85"/>
      <c r="D592" s="85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>
      <c r="A593" s="86"/>
      <c r="B593" s="87"/>
      <c r="C593" s="85"/>
      <c r="D593" s="85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>
      <c r="A594" s="86"/>
      <c r="B594" s="87"/>
      <c r="C594" s="85"/>
      <c r="D594" s="85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>
      <c r="A595" s="86"/>
      <c r="B595" s="87"/>
      <c r="C595" s="85"/>
      <c r="D595" s="85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>
      <c r="A596" s="86"/>
      <c r="B596" s="87"/>
      <c r="C596" s="85"/>
      <c r="D596" s="85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>
      <c r="A597" s="86"/>
      <c r="B597" s="87"/>
      <c r="C597" s="85"/>
      <c r="D597" s="85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>
      <c r="A598" s="86"/>
      <c r="B598" s="87"/>
      <c r="C598" s="85"/>
      <c r="D598" s="85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>
      <c r="A599" s="86"/>
      <c r="B599" s="87"/>
      <c r="C599" s="85"/>
      <c r="D599" s="85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>
      <c r="A600" s="86"/>
      <c r="B600" s="87"/>
      <c r="C600" s="85"/>
      <c r="D600" s="85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>
      <c r="A601" s="86"/>
      <c r="B601" s="87"/>
      <c r="C601" s="85"/>
      <c r="D601" s="85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>
      <c r="A602" s="86"/>
      <c r="B602" s="87"/>
      <c r="C602" s="85"/>
      <c r="D602" s="85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>
      <c r="A603" s="86"/>
      <c r="B603" s="87"/>
      <c r="C603" s="85"/>
      <c r="D603" s="85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>
      <c r="A604" s="86"/>
      <c r="B604" s="87"/>
      <c r="C604" s="85"/>
      <c r="D604" s="85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>
      <c r="A605" s="86"/>
      <c r="B605" s="87"/>
      <c r="C605" s="85"/>
      <c r="D605" s="85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>
      <c r="A606" s="86"/>
      <c r="B606" s="87"/>
      <c r="C606" s="85"/>
      <c r="D606" s="85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>
      <c r="A607" s="86"/>
      <c r="B607" s="87"/>
      <c r="C607" s="85"/>
      <c r="D607" s="85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>
      <c r="A608" s="86"/>
      <c r="B608" s="87"/>
      <c r="C608" s="85"/>
      <c r="D608" s="85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>
      <c r="A609" s="86"/>
      <c r="B609" s="87"/>
      <c r="C609" s="85"/>
      <c r="D609" s="85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>
      <c r="A610" s="86"/>
      <c r="B610" s="87"/>
      <c r="C610" s="85"/>
      <c r="D610" s="85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>
      <c r="A611" s="86"/>
      <c r="B611" s="87"/>
      <c r="C611" s="85"/>
      <c r="D611" s="85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>
      <c r="A612" s="86"/>
      <c r="B612" s="87"/>
      <c r="C612" s="85"/>
      <c r="D612" s="85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>
      <c r="A613" s="86"/>
      <c r="B613" s="87"/>
      <c r="C613" s="85"/>
      <c r="D613" s="85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>
      <c r="A614" s="86"/>
      <c r="B614" s="87"/>
      <c r="C614" s="85"/>
      <c r="D614" s="85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>
      <c r="A615" s="86"/>
      <c r="B615" s="87"/>
      <c r="C615" s="85"/>
      <c r="D615" s="85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>
      <c r="A616" s="86"/>
      <c r="B616" s="87"/>
      <c r="C616" s="85"/>
      <c r="D616" s="85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>
      <c r="A617" s="86"/>
      <c r="B617" s="87"/>
      <c r="C617" s="85"/>
      <c r="D617" s="85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>
      <c r="A618" s="86"/>
      <c r="B618" s="87"/>
      <c r="C618" s="85"/>
      <c r="D618" s="85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>
      <c r="A619" s="86"/>
      <c r="B619" s="87"/>
      <c r="C619" s="85"/>
      <c r="D619" s="85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>
      <c r="A620" s="86"/>
      <c r="B620" s="87"/>
      <c r="C620" s="85"/>
      <c r="D620" s="85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>
      <c r="A621" s="86"/>
      <c r="B621" s="87"/>
      <c r="C621" s="85"/>
      <c r="D621" s="85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>
      <c r="A622" s="86"/>
      <c r="B622" s="87"/>
      <c r="C622" s="85"/>
      <c r="D622" s="85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>
      <c r="A623" s="86"/>
      <c r="B623" s="87"/>
      <c r="C623" s="85"/>
      <c r="D623" s="85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>
      <c r="A624" s="86"/>
      <c r="B624" s="87"/>
      <c r="C624" s="85"/>
      <c r="D624" s="85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>
      <c r="A625" s="86"/>
      <c r="B625" s="87"/>
      <c r="C625" s="85"/>
      <c r="D625" s="85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>
      <c r="A626" s="86"/>
      <c r="B626" s="87"/>
      <c r="C626" s="85"/>
      <c r="D626" s="85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>
      <c r="A627" s="86"/>
      <c r="B627" s="87"/>
      <c r="C627" s="85"/>
      <c r="D627" s="85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>
      <c r="A628" s="86"/>
      <c r="B628" s="87"/>
      <c r="C628" s="85"/>
      <c r="D628" s="85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>
      <c r="A629" s="86"/>
      <c r="B629" s="87"/>
      <c r="C629" s="85"/>
      <c r="D629" s="85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>
      <c r="A630" s="86"/>
      <c r="B630" s="87"/>
      <c r="C630" s="85"/>
      <c r="D630" s="85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>
      <c r="A631" s="86"/>
      <c r="B631" s="87"/>
      <c r="C631" s="85"/>
      <c r="D631" s="85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>
      <c r="A632" s="86"/>
      <c r="B632" s="87"/>
      <c r="C632" s="85"/>
      <c r="D632" s="85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>
      <c r="A633" s="86"/>
      <c r="B633" s="87"/>
      <c r="C633" s="85"/>
      <c r="D633" s="85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>
      <c r="A634" s="86"/>
      <c r="B634" s="87"/>
      <c r="C634" s="85"/>
      <c r="D634" s="85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>
      <c r="A635" s="86"/>
      <c r="B635" s="87"/>
      <c r="C635" s="85"/>
      <c r="D635" s="85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>
      <c r="A636" s="86"/>
      <c r="B636" s="87"/>
      <c r="C636" s="85"/>
      <c r="D636" s="85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>
      <c r="A637" s="86"/>
      <c r="B637" s="87"/>
      <c r="C637" s="85"/>
      <c r="D637" s="85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>
      <c r="A638" s="86"/>
      <c r="B638" s="87"/>
      <c r="C638" s="85"/>
      <c r="D638" s="85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>
      <c r="A639" s="86"/>
      <c r="B639" s="87"/>
      <c r="C639" s="85"/>
      <c r="D639" s="85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>
      <c r="A640" s="86"/>
      <c r="B640" s="87"/>
      <c r="C640" s="85"/>
      <c r="D640" s="85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>
      <c r="A641" s="86"/>
      <c r="B641" s="87"/>
      <c r="C641" s="85"/>
      <c r="D641" s="85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>
      <c r="A642" s="86"/>
      <c r="B642" s="87"/>
      <c r="C642" s="85"/>
      <c r="D642" s="85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>
      <c r="A643" s="86"/>
      <c r="B643" s="87"/>
      <c r="C643" s="85"/>
      <c r="D643" s="85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>
      <c r="A644" s="86"/>
      <c r="B644" s="87"/>
      <c r="C644" s="85"/>
      <c r="D644" s="85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>
      <c r="A645" s="86"/>
      <c r="B645" s="87"/>
      <c r="C645" s="85"/>
      <c r="D645" s="85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>
      <c r="A646" s="86"/>
      <c r="B646" s="87"/>
      <c r="C646" s="85"/>
      <c r="D646" s="85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>
      <c r="A647" s="86"/>
      <c r="B647" s="87"/>
      <c r="C647" s="85"/>
      <c r="D647" s="85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>
      <c r="A648" s="86"/>
      <c r="B648" s="87"/>
      <c r="C648" s="85"/>
      <c r="D648" s="85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>
      <c r="A649" s="86"/>
      <c r="B649" s="87"/>
      <c r="C649" s="85"/>
      <c r="D649" s="85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>
      <c r="A650" s="86"/>
      <c r="B650" s="87"/>
      <c r="C650" s="85"/>
      <c r="D650" s="85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>
      <c r="A651" s="86"/>
      <c r="B651" s="87"/>
      <c r="C651" s="85"/>
      <c r="D651" s="85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>
      <c r="A652" s="86"/>
      <c r="B652" s="87"/>
      <c r="C652" s="85"/>
      <c r="D652" s="85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>
      <c r="A653" s="86"/>
      <c r="B653" s="87"/>
      <c r="C653" s="85"/>
      <c r="D653" s="85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>
      <c r="A654" s="86"/>
      <c r="B654" s="87"/>
      <c r="C654" s="85"/>
      <c r="D654" s="85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>
      <c r="A655" s="86"/>
      <c r="B655" s="87"/>
      <c r="C655" s="85"/>
      <c r="D655" s="85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>
      <c r="A656" s="86"/>
      <c r="B656" s="87"/>
      <c r="C656" s="85"/>
      <c r="D656" s="85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>
      <c r="A657" s="86"/>
      <c r="B657" s="87"/>
      <c r="C657" s="85"/>
      <c r="D657" s="85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>
      <c r="A658" s="86"/>
      <c r="B658" s="87"/>
      <c r="C658" s="85"/>
      <c r="D658" s="85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>
      <c r="A659" s="86"/>
      <c r="B659" s="87"/>
      <c r="C659" s="85"/>
      <c r="D659" s="85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>
      <c r="A660" s="86"/>
      <c r="B660" s="87"/>
      <c r="C660" s="85"/>
      <c r="D660" s="85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>
      <c r="A661" s="86"/>
      <c r="B661" s="87"/>
      <c r="C661" s="85"/>
      <c r="D661" s="85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>
      <c r="A662" s="86"/>
      <c r="B662" s="87"/>
      <c r="C662" s="85"/>
      <c r="D662" s="85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>
      <c r="A663" s="86"/>
      <c r="B663" s="87"/>
      <c r="C663" s="85"/>
      <c r="D663" s="85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>
      <c r="A664" s="86"/>
      <c r="B664" s="87"/>
      <c r="C664" s="85"/>
      <c r="D664" s="85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>
      <c r="A665" s="86"/>
      <c r="B665" s="87"/>
      <c r="C665" s="85"/>
      <c r="D665" s="85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>
      <c r="A666" s="86"/>
      <c r="B666" s="87"/>
      <c r="C666" s="85"/>
      <c r="D666" s="85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>
      <c r="A667" s="86"/>
      <c r="B667" s="87"/>
      <c r="C667" s="85"/>
      <c r="D667" s="85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>
      <c r="A668" s="86"/>
      <c r="B668" s="87"/>
      <c r="C668" s="85"/>
      <c r="D668" s="85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>
      <c r="A669" s="86"/>
      <c r="B669" s="87"/>
      <c r="C669" s="85"/>
      <c r="D669" s="85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>
      <c r="A670" s="86"/>
      <c r="B670" s="87"/>
      <c r="C670" s="85"/>
      <c r="D670" s="85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>
      <c r="A671" s="86"/>
      <c r="B671" s="87"/>
      <c r="C671" s="85"/>
      <c r="D671" s="85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>
      <c r="A672" s="86"/>
      <c r="B672" s="87"/>
      <c r="C672" s="85"/>
      <c r="D672" s="85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>
      <c r="A673" s="86"/>
      <c r="B673" s="87"/>
      <c r="C673" s="85"/>
      <c r="D673" s="85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>
      <c r="A674" s="86"/>
      <c r="B674" s="87"/>
      <c r="C674" s="85"/>
      <c r="D674" s="85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>
      <c r="A675" s="86"/>
      <c r="B675" s="87"/>
      <c r="C675" s="85"/>
      <c r="D675" s="85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>
      <c r="A676" s="86"/>
      <c r="B676" s="87"/>
      <c r="C676" s="85"/>
      <c r="D676" s="85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>
      <c r="A677" s="86"/>
      <c r="B677" s="87"/>
      <c r="C677" s="85"/>
      <c r="D677" s="85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>
      <c r="A678" s="86"/>
      <c r="B678" s="87"/>
      <c r="C678" s="85"/>
      <c r="D678" s="85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>
      <c r="A679" s="86"/>
      <c r="B679" s="87"/>
      <c r="C679" s="85"/>
      <c r="D679" s="85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>
      <c r="A680" s="86"/>
      <c r="B680" s="87"/>
      <c r="C680" s="85"/>
      <c r="D680" s="85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>
      <c r="A681" s="86"/>
      <c r="B681" s="87"/>
      <c r="C681" s="85"/>
      <c r="D681" s="85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>
      <c r="A682" s="86"/>
      <c r="B682" s="87"/>
      <c r="C682" s="85"/>
      <c r="D682" s="85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>
      <c r="A683" s="86"/>
      <c r="B683" s="87"/>
      <c r="C683" s="85"/>
      <c r="D683" s="85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>
      <c r="A684" s="86"/>
      <c r="B684" s="87"/>
      <c r="C684" s="85"/>
      <c r="D684" s="85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>
      <c r="A685" s="86"/>
      <c r="B685" s="87"/>
      <c r="C685" s="85"/>
      <c r="D685" s="85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>
      <c r="A686" s="86"/>
      <c r="B686" s="87"/>
      <c r="C686" s="85"/>
      <c r="D686" s="85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>
      <c r="A687" s="86"/>
      <c r="B687" s="87"/>
      <c r="C687" s="85"/>
      <c r="D687" s="85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>
      <c r="A688" s="86"/>
      <c r="B688" s="87"/>
      <c r="C688" s="85"/>
      <c r="D688" s="85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>
      <c r="A689" s="86"/>
      <c r="B689" s="87"/>
      <c r="C689" s="85"/>
      <c r="D689" s="85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>
      <c r="A690" s="86"/>
      <c r="B690" s="87"/>
      <c r="C690" s="85"/>
      <c r="D690" s="85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>
      <c r="A691" s="86"/>
      <c r="B691" s="87"/>
      <c r="C691" s="85"/>
      <c r="D691" s="85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>
      <c r="A692" s="86"/>
      <c r="B692" s="87"/>
      <c r="C692" s="85"/>
      <c r="D692" s="85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>
      <c r="A693" s="86"/>
      <c r="B693" s="87"/>
      <c r="C693" s="85"/>
      <c r="D693" s="85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>
      <c r="A694" s="86"/>
      <c r="B694" s="87"/>
      <c r="C694" s="85"/>
      <c r="D694" s="85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>
      <c r="A695" s="86"/>
      <c r="B695" s="87"/>
      <c r="C695" s="85"/>
      <c r="D695" s="85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>
      <c r="A696" s="86"/>
      <c r="B696" s="87"/>
      <c r="C696" s="85"/>
      <c r="D696" s="85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>
      <c r="A697" s="86"/>
      <c r="B697" s="87"/>
      <c r="C697" s="85"/>
      <c r="D697" s="85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>
      <c r="A698" s="86"/>
      <c r="B698" s="87"/>
      <c r="C698" s="85"/>
      <c r="D698" s="85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>
      <c r="A699" s="86"/>
      <c r="B699" s="87"/>
      <c r="C699" s="85"/>
      <c r="D699" s="85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>
      <c r="A700" s="86"/>
      <c r="B700" s="87"/>
      <c r="C700" s="85"/>
      <c r="D700" s="85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>
      <c r="A701" s="86"/>
      <c r="B701" s="87"/>
      <c r="C701" s="85"/>
      <c r="D701" s="85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>
      <c r="A702" s="86"/>
      <c r="B702" s="87"/>
      <c r="C702" s="85"/>
      <c r="D702" s="85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>
      <c r="A703" s="86"/>
      <c r="B703" s="87"/>
      <c r="C703" s="85"/>
      <c r="D703" s="85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>
      <c r="A704" s="86"/>
      <c r="B704" s="87"/>
      <c r="C704" s="85"/>
      <c r="D704" s="85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>
      <c r="A705" s="86"/>
      <c r="B705" s="87"/>
      <c r="C705" s="85"/>
      <c r="D705" s="85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>
      <c r="A706" s="86"/>
      <c r="B706" s="87"/>
      <c r="C706" s="85"/>
      <c r="D706" s="85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>
      <c r="A707" s="86"/>
      <c r="B707" s="87"/>
      <c r="C707" s="85"/>
      <c r="D707" s="85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>
      <c r="A708" s="86"/>
      <c r="B708" s="87"/>
      <c r="C708" s="85"/>
      <c r="D708" s="85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>
      <c r="A709" s="86"/>
      <c r="B709" s="87"/>
      <c r="C709" s="85"/>
      <c r="D709" s="85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>
      <c r="A710" s="86"/>
      <c r="B710" s="87"/>
      <c r="C710" s="85"/>
      <c r="D710" s="85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>
      <c r="A711" s="86"/>
      <c r="B711" s="87"/>
      <c r="C711" s="85"/>
      <c r="D711" s="85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>
      <c r="A712" s="86"/>
      <c r="B712" s="87"/>
      <c r="C712" s="85"/>
      <c r="D712" s="85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>
      <c r="A713" s="86"/>
      <c r="B713" s="87"/>
      <c r="C713" s="85"/>
      <c r="D713" s="85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>
      <c r="A714" s="86"/>
      <c r="B714" s="87"/>
      <c r="C714" s="85"/>
      <c r="D714" s="85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>
      <c r="A715" s="86"/>
      <c r="B715" s="87"/>
      <c r="C715" s="85"/>
      <c r="D715" s="85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>
      <c r="A716" s="86"/>
      <c r="B716" s="87"/>
      <c r="C716" s="85"/>
      <c r="D716" s="85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>
      <c r="A717" s="86"/>
      <c r="B717" s="87"/>
      <c r="C717" s="85"/>
      <c r="D717" s="85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>
      <c r="A718" s="86"/>
      <c r="B718" s="87"/>
      <c r="C718" s="85"/>
      <c r="D718" s="85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>
      <c r="A719" s="86"/>
      <c r="B719" s="87"/>
      <c r="C719" s="85"/>
      <c r="D719" s="85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>
      <c r="A720" s="86"/>
      <c r="B720" s="87"/>
      <c r="C720" s="85"/>
      <c r="D720" s="85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>
      <c r="A721" s="86"/>
      <c r="B721" s="87"/>
      <c r="C721" s="85"/>
      <c r="D721" s="85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>
      <c r="A722" s="86"/>
      <c r="B722" s="87"/>
      <c r="C722" s="85"/>
      <c r="D722" s="85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>
      <c r="A723" s="86"/>
      <c r="B723" s="87"/>
      <c r="C723" s="85"/>
      <c r="D723" s="85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>
      <c r="A724" s="86"/>
      <c r="B724" s="87"/>
      <c r="C724" s="85"/>
      <c r="D724" s="85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>
      <c r="A725" s="86"/>
      <c r="B725" s="87"/>
      <c r="C725" s="85"/>
      <c r="D725" s="85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>
      <c r="A726" s="86"/>
      <c r="B726" s="87"/>
      <c r="C726" s="85"/>
      <c r="D726" s="85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>
      <c r="A727" s="86"/>
      <c r="B727" s="87"/>
      <c r="C727" s="85"/>
      <c r="D727" s="85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>
      <c r="A728" s="86"/>
      <c r="B728" s="87"/>
      <c r="C728" s="85"/>
      <c r="D728" s="85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>
      <c r="A729" s="86"/>
      <c r="B729" s="87"/>
      <c r="C729" s="85"/>
      <c r="D729" s="85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>
      <c r="A730" s="86"/>
      <c r="B730" s="87"/>
      <c r="C730" s="85"/>
      <c r="D730" s="85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>
      <c r="A731" s="86"/>
      <c r="B731" s="87"/>
      <c r="C731" s="85"/>
      <c r="D731" s="85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>
      <c r="A732" s="86"/>
      <c r="B732" s="87"/>
      <c r="C732" s="85"/>
      <c r="D732" s="85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>
      <c r="A733" s="86"/>
      <c r="B733" s="87"/>
      <c r="C733" s="85"/>
      <c r="D733" s="85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>
      <c r="A734" s="86"/>
      <c r="B734" s="87"/>
      <c r="C734" s="85"/>
      <c r="D734" s="85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>
      <c r="A735" s="86"/>
      <c r="B735" s="87"/>
      <c r="C735" s="85"/>
      <c r="D735" s="85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>
      <c r="A736" s="86"/>
      <c r="B736" s="87"/>
      <c r="C736" s="85"/>
      <c r="D736" s="85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>
      <c r="A737" s="86"/>
      <c r="B737" s="87"/>
      <c r="C737" s="85"/>
      <c r="D737" s="85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>
      <c r="A738" s="86"/>
      <c r="B738" s="87"/>
      <c r="C738" s="85"/>
      <c r="D738" s="85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>
      <c r="A739" s="86"/>
      <c r="B739" s="87"/>
      <c r="C739" s="85"/>
      <c r="D739" s="85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>
      <c r="A740" s="86"/>
      <c r="B740" s="87"/>
      <c r="C740" s="85"/>
      <c r="D740" s="85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>
      <c r="A741" s="86"/>
      <c r="B741" s="87"/>
      <c r="C741" s="85"/>
      <c r="D741" s="85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>
      <c r="A742" s="86"/>
      <c r="B742" s="87"/>
      <c r="C742" s="85"/>
      <c r="D742" s="85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>
      <c r="A743" s="86"/>
      <c r="B743" s="87"/>
      <c r="C743" s="85"/>
      <c r="D743" s="85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>
      <c r="A744" s="86"/>
      <c r="B744" s="87"/>
      <c r="C744" s="85"/>
      <c r="D744" s="85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>
      <c r="A745" s="86"/>
      <c r="B745" s="87"/>
      <c r="C745" s="85"/>
      <c r="D745" s="85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>
      <c r="A746" s="86"/>
      <c r="B746" s="87"/>
      <c r="C746" s="85"/>
      <c r="D746" s="85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>
      <c r="A747" s="86"/>
      <c r="B747" s="87"/>
      <c r="C747" s="85"/>
      <c r="D747" s="85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>
      <c r="A748" s="86"/>
      <c r="B748" s="87"/>
      <c r="C748" s="85"/>
      <c r="D748" s="85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>
      <c r="A749" s="86"/>
      <c r="B749" s="87"/>
      <c r="C749" s="85"/>
      <c r="D749" s="85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>
      <c r="A750" s="86"/>
      <c r="B750" s="87"/>
      <c r="C750" s="85"/>
      <c r="D750" s="85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>
      <c r="A751" s="86"/>
      <c r="B751" s="87"/>
      <c r="C751" s="85"/>
      <c r="D751" s="85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>
      <c r="A752" s="86"/>
      <c r="B752" s="87"/>
      <c r="C752" s="85"/>
      <c r="D752" s="85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>
      <c r="A753" s="86"/>
      <c r="B753" s="87"/>
      <c r="C753" s="85"/>
      <c r="D753" s="85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>
      <c r="A754" s="86"/>
      <c r="B754" s="87"/>
      <c r="C754" s="85"/>
      <c r="D754" s="85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>
      <c r="A755" s="86"/>
      <c r="B755" s="87"/>
      <c r="C755" s="85"/>
      <c r="D755" s="85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>
      <c r="A756" s="86"/>
      <c r="B756" s="87"/>
      <c r="C756" s="85"/>
      <c r="D756" s="85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>
      <c r="A757" s="86"/>
      <c r="B757" s="87"/>
      <c r="C757" s="85"/>
      <c r="D757" s="85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>
      <c r="A758" s="86"/>
      <c r="B758" s="87"/>
      <c r="C758" s="85"/>
      <c r="D758" s="85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>
      <c r="A759" s="86"/>
      <c r="B759" s="87"/>
      <c r="C759" s="85"/>
      <c r="D759" s="85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>
      <c r="A760" s="86"/>
      <c r="B760" s="87"/>
      <c r="C760" s="85"/>
      <c r="D760" s="85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>
      <c r="A761" s="86"/>
      <c r="B761" s="87"/>
      <c r="C761" s="85"/>
      <c r="D761" s="85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>
      <c r="A762" s="86"/>
      <c r="B762" s="87"/>
      <c r="C762" s="85"/>
      <c r="D762" s="85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>
      <c r="A763" s="86"/>
      <c r="B763" s="87"/>
      <c r="C763" s="85"/>
      <c r="D763" s="85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>
      <c r="A764" s="86"/>
      <c r="B764" s="87"/>
      <c r="C764" s="85"/>
      <c r="D764" s="85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>
      <c r="A765" s="86"/>
      <c r="B765" s="87"/>
      <c r="C765" s="85"/>
      <c r="D765" s="85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>
      <c r="A766" s="86"/>
      <c r="B766" s="87"/>
      <c r="C766" s="85"/>
      <c r="D766" s="85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>
      <c r="A767" s="86"/>
      <c r="B767" s="87"/>
      <c r="C767" s="85"/>
      <c r="D767" s="85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>
      <c r="A768" s="86"/>
      <c r="B768" s="87"/>
      <c r="C768" s="85"/>
      <c r="D768" s="85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>
      <c r="A769" s="86"/>
      <c r="B769" s="87"/>
      <c r="C769" s="85"/>
      <c r="D769" s="85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>
      <c r="A770" s="86"/>
      <c r="B770" s="87"/>
      <c r="C770" s="85"/>
      <c r="D770" s="85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>
      <c r="A771" s="86"/>
      <c r="B771" s="87"/>
      <c r="C771" s="85"/>
      <c r="D771" s="85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>
      <c r="A772" s="86"/>
      <c r="B772" s="87"/>
      <c r="C772" s="85"/>
      <c r="D772" s="85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>
      <c r="A773" s="86"/>
      <c r="B773" s="87"/>
      <c r="C773" s="85"/>
      <c r="D773" s="85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>
      <c r="A774" s="86"/>
      <c r="B774" s="87"/>
      <c r="C774" s="85"/>
      <c r="D774" s="85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>
      <c r="A775" s="86"/>
      <c r="B775" s="87"/>
      <c r="C775" s="85"/>
      <c r="D775" s="85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>
      <c r="A776" s="86"/>
      <c r="B776" s="87"/>
      <c r="C776" s="85"/>
      <c r="D776" s="85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>
      <c r="A777" s="86"/>
      <c r="B777" s="87"/>
      <c r="C777" s="85"/>
      <c r="D777" s="85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>
      <c r="A778" s="86"/>
      <c r="B778" s="87"/>
      <c r="C778" s="85"/>
      <c r="D778" s="85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>
      <c r="A779" s="86"/>
      <c r="B779" s="87"/>
      <c r="C779" s="85"/>
      <c r="D779" s="85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>
      <c r="A780" s="86"/>
      <c r="B780" s="87"/>
      <c r="C780" s="85"/>
      <c r="D780" s="85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>
      <c r="A781" s="86"/>
      <c r="B781" s="87"/>
      <c r="C781" s="85"/>
      <c r="D781" s="85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>
      <c r="A782" s="86"/>
      <c r="B782" s="87"/>
      <c r="C782" s="85"/>
      <c r="D782" s="85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>
      <c r="A783" s="86"/>
      <c r="B783" s="87"/>
      <c r="C783" s="85"/>
      <c r="D783" s="85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>
      <c r="A784" s="86"/>
      <c r="B784" s="87"/>
      <c r="C784" s="85"/>
      <c r="D784" s="85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>
      <c r="A785" s="86"/>
      <c r="B785" s="87"/>
      <c r="C785" s="85"/>
      <c r="D785" s="85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>
      <c r="A786" s="86"/>
      <c r="B786" s="87"/>
      <c r="C786" s="85"/>
      <c r="D786" s="85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>
      <c r="A787" s="86"/>
      <c r="B787" s="87"/>
      <c r="C787" s="85"/>
      <c r="D787" s="85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>
      <c r="A788" s="86"/>
      <c r="B788" s="87"/>
      <c r="C788" s="85"/>
      <c r="D788" s="85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>
      <c r="A789" s="86"/>
      <c r="B789" s="87"/>
      <c r="C789" s="85"/>
      <c r="D789" s="85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>
      <c r="A790" s="86"/>
      <c r="B790" s="87"/>
      <c r="C790" s="85"/>
      <c r="D790" s="85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>
      <c r="A791" s="86"/>
      <c r="B791" s="87"/>
      <c r="C791" s="85"/>
      <c r="D791" s="85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>
      <c r="A792" s="86"/>
      <c r="B792" s="87"/>
      <c r="C792" s="85"/>
      <c r="D792" s="85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>
      <c r="A793" s="86"/>
      <c r="B793" s="87"/>
      <c r="C793" s="85"/>
      <c r="D793" s="85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>
      <c r="A794" s="86"/>
      <c r="B794" s="87"/>
      <c r="C794" s="85"/>
      <c r="D794" s="85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>
      <c r="A795" s="86"/>
      <c r="B795" s="87"/>
      <c r="C795" s="85"/>
      <c r="D795" s="85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>
      <c r="A796" s="86"/>
      <c r="B796" s="87"/>
      <c r="C796" s="85"/>
      <c r="D796" s="85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>
      <c r="A797" s="86"/>
      <c r="B797" s="87"/>
      <c r="C797" s="85"/>
      <c r="D797" s="85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>
      <c r="A798" s="86"/>
      <c r="B798" s="87"/>
      <c r="C798" s="85"/>
      <c r="D798" s="85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>
      <c r="A799" s="86"/>
      <c r="B799" s="87"/>
      <c r="C799" s="85"/>
      <c r="D799" s="85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>
      <c r="A800" s="86"/>
      <c r="B800" s="87"/>
      <c r="C800" s="85"/>
      <c r="D800" s="85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>
      <c r="A801" s="86"/>
      <c r="B801" s="87"/>
      <c r="C801" s="85"/>
      <c r="D801" s="85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>
      <c r="A802" s="86"/>
      <c r="B802" s="87"/>
      <c r="C802" s="85"/>
      <c r="D802" s="85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>
      <c r="A803" s="86"/>
      <c r="B803" s="87"/>
      <c r="C803" s="85"/>
      <c r="D803" s="85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>
      <c r="A804" s="86"/>
      <c r="B804" s="87"/>
      <c r="C804" s="85"/>
      <c r="D804" s="85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>
      <c r="A805" s="86"/>
      <c r="B805" s="87"/>
      <c r="C805" s="85"/>
      <c r="D805" s="85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>
      <c r="A806" s="86"/>
      <c r="B806" s="87"/>
      <c r="C806" s="85"/>
      <c r="D806" s="85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>
      <c r="A807" s="86"/>
      <c r="B807" s="87"/>
      <c r="C807" s="85"/>
      <c r="D807" s="85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>
      <c r="A808" s="86"/>
      <c r="B808" s="87"/>
      <c r="C808" s="85"/>
      <c r="D808" s="85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>
      <c r="A809" s="86"/>
      <c r="B809" s="87"/>
      <c r="C809" s="85"/>
      <c r="D809" s="85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>
      <c r="A810" s="86"/>
      <c r="B810" s="87"/>
      <c r="C810" s="85"/>
      <c r="D810" s="85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>
      <c r="A811" s="86"/>
      <c r="B811" s="87"/>
      <c r="C811" s="85"/>
      <c r="D811" s="85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>
      <c r="A812" s="86"/>
      <c r="B812" s="87"/>
      <c r="C812" s="85"/>
      <c r="D812" s="85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>
      <c r="A813" s="86"/>
      <c r="B813" s="87"/>
      <c r="C813" s="85"/>
      <c r="D813" s="85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>
      <c r="A814" s="86"/>
      <c r="B814" s="87"/>
      <c r="C814" s="85"/>
      <c r="D814" s="85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>
      <c r="A815" s="86"/>
      <c r="B815" s="87"/>
      <c r="C815" s="85"/>
      <c r="D815" s="85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>
      <c r="A816" s="86"/>
      <c r="B816" s="87"/>
      <c r="C816" s="85"/>
      <c r="D816" s="85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>
      <c r="A817" s="86"/>
      <c r="B817" s="87"/>
      <c r="C817" s="85"/>
      <c r="D817" s="85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>
      <c r="A818" s="86"/>
      <c r="B818" s="87"/>
      <c r="C818" s="85"/>
      <c r="D818" s="85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>
      <c r="A819" s="86"/>
      <c r="B819" s="87"/>
      <c r="C819" s="85"/>
      <c r="D819" s="85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>
      <c r="A820" s="86"/>
      <c r="B820" s="87"/>
      <c r="C820" s="85"/>
      <c r="D820" s="85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>
      <c r="A821" s="86"/>
      <c r="B821" s="87"/>
      <c r="C821" s="85"/>
      <c r="D821" s="85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>
      <c r="A822" s="86"/>
      <c r="B822" s="87"/>
      <c r="C822" s="85"/>
      <c r="D822" s="85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>
      <c r="A823" s="86"/>
      <c r="B823" s="87"/>
      <c r="C823" s="85"/>
      <c r="D823" s="85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>
      <c r="A824" s="86"/>
      <c r="B824" s="87"/>
      <c r="C824" s="85"/>
      <c r="D824" s="85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>
      <c r="A825" s="86"/>
      <c r="B825" s="87"/>
      <c r="C825" s="85"/>
      <c r="D825" s="85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>
      <c r="A826" s="86"/>
      <c r="B826" s="87"/>
      <c r="C826" s="85"/>
      <c r="D826" s="85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>
      <c r="A827" s="86"/>
      <c r="B827" s="87"/>
      <c r="C827" s="85"/>
      <c r="D827" s="85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>
      <c r="A828" s="86"/>
      <c r="B828" s="87"/>
      <c r="C828" s="85"/>
      <c r="D828" s="85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>
      <c r="A829" s="86"/>
      <c r="B829" s="87"/>
      <c r="C829" s="85"/>
      <c r="D829" s="85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>
      <c r="A830" s="86"/>
      <c r="B830" s="87"/>
      <c r="C830" s="85"/>
      <c r="D830" s="85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>
      <c r="A831" s="86"/>
      <c r="B831" s="87"/>
      <c r="C831" s="85"/>
      <c r="D831" s="85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>
      <c r="A832" s="86"/>
      <c r="B832" s="87"/>
      <c r="C832" s="85"/>
      <c r="D832" s="85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>
      <c r="A833" s="86"/>
      <c r="B833" s="87"/>
      <c r="C833" s="85"/>
      <c r="D833" s="85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>
      <c r="A834" s="86"/>
      <c r="B834" s="87"/>
      <c r="C834" s="85"/>
      <c r="D834" s="85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>
      <c r="A835" s="86"/>
      <c r="B835" s="87"/>
      <c r="C835" s="85"/>
      <c r="D835" s="85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>
      <c r="A836" s="86"/>
      <c r="B836" s="87"/>
      <c r="C836" s="85"/>
      <c r="D836" s="85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>
      <c r="A837" s="86"/>
      <c r="B837" s="87"/>
      <c r="C837" s="85"/>
      <c r="D837" s="85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>
      <c r="A838" s="86"/>
      <c r="B838" s="87"/>
      <c r="C838" s="85"/>
      <c r="D838" s="85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>
      <c r="A839" s="86"/>
      <c r="B839" s="87"/>
      <c r="C839" s="85"/>
      <c r="D839" s="85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>
      <c r="A840" s="86"/>
      <c r="B840" s="87"/>
      <c r="C840" s="85"/>
      <c r="D840" s="85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>
      <c r="A841" s="86"/>
      <c r="B841" s="87"/>
      <c r="C841" s="85"/>
      <c r="D841" s="85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>
      <c r="A842" s="86"/>
      <c r="B842" s="87"/>
      <c r="C842" s="85"/>
      <c r="D842" s="85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>
      <c r="A843" s="86"/>
      <c r="B843" s="87"/>
      <c r="C843" s="85"/>
      <c r="D843" s="85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>
      <c r="A844" s="86"/>
      <c r="B844" s="87"/>
      <c r="C844" s="85"/>
      <c r="D844" s="85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>
      <c r="A845" s="86"/>
      <c r="B845" s="87"/>
      <c r="C845" s="85"/>
      <c r="D845" s="85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>
      <c r="A846" s="86"/>
      <c r="B846" s="87"/>
      <c r="C846" s="85"/>
      <c r="D846" s="85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>
      <c r="A847" s="86"/>
      <c r="B847" s="87"/>
      <c r="C847" s="85"/>
      <c r="D847" s="85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>
      <c r="A848" s="86"/>
      <c r="B848" s="87"/>
      <c r="C848" s="85"/>
      <c r="D848" s="85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>
      <c r="A849" s="86"/>
      <c r="B849" s="87"/>
      <c r="C849" s="85"/>
      <c r="D849" s="85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>
      <c r="A850" s="86"/>
      <c r="B850" s="87"/>
      <c r="C850" s="85"/>
      <c r="D850" s="85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>
      <c r="A851" s="86"/>
      <c r="B851" s="87"/>
      <c r="C851" s="85"/>
      <c r="D851" s="85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>
      <c r="A852" s="86"/>
      <c r="B852" s="87"/>
      <c r="C852" s="85"/>
      <c r="D852" s="85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>
      <c r="A853" s="86"/>
      <c r="B853" s="87"/>
      <c r="C853" s="85"/>
      <c r="D853" s="85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>
      <c r="A854" s="86"/>
      <c r="B854" s="87"/>
      <c r="C854" s="85"/>
      <c r="D854" s="85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>
      <c r="A855" s="86"/>
      <c r="B855" s="87"/>
      <c r="C855" s="85"/>
      <c r="D855" s="85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>
      <c r="A856" s="86"/>
      <c r="B856" s="87"/>
      <c r="C856" s="85"/>
      <c r="D856" s="85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>
      <c r="A857" s="86"/>
      <c r="B857" s="87"/>
      <c r="C857" s="85"/>
      <c r="D857" s="85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>
      <c r="A858" s="86"/>
      <c r="B858" s="87"/>
      <c r="C858" s="85"/>
      <c r="D858" s="85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>
      <c r="A859" s="86"/>
      <c r="B859" s="87"/>
      <c r="C859" s="85"/>
      <c r="D859" s="85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>
      <c r="A860" s="86"/>
      <c r="B860" s="87"/>
      <c r="C860" s="85"/>
      <c r="D860" s="85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>
      <c r="A861" s="86"/>
      <c r="B861" s="87"/>
      <c r="C861" s="85"/>
      <c r="D861" s="85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>
      <c r="A862" s="86"/>
      <c r="B862" s="87"/>
      <c r="C862" s="85"/>
      <c r="D862" s="85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>
      <c r="A863" s="86"/>
      <c r="B863" s="87"/>
      <c r="C863" s="85"/>
      <c r="D863" s="85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>
      <c r="A864" s="86"/>
      <c r="B864" s="87"/>
      <c r="C864" s="85"/>
      <c r="D864" s="85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>
      <c r="A865" s="86"/>
      <c r="B865" s="87"/>
      <c r="C865" s="85"/>
      <c r="D865" s="85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>
      <c r="A866" s="86"/>
      <c r="B866" s="87"/>
      <c r="C866" s="85"/>
      <c r="D866" s="85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>
      <c r="A867" s="86"/>
      <c r="B867" s="87"/>
      <c r="C867" s="85"/>
      <c r="D867" s="85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>
      <c r="A868" s="86"/>
      <c r="B868" s="87"/>
      <c r="C868" s="85"/>
      <c r="D868" s="85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>
      <c r="A869" s="86"/>
      <c r="B869" s="87"/>
      <c r="C869" s="85"/>
      <c r="D869" s="85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>
      <c r="A870" s="86"/>
      <c r="B870" s="87"/>
      <c r="C870" s="85"/>
      <c r="D870" s="85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>
      <c r="A871" s="86"/>
      <c r="B871" s="87"/>
      <c r="C871" s="85"/>
      <c r="D871" s="85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>
      <c r="A872" s="86"/>
      <c r="B872" s="87"/>
      <c r="C872" s="85"/>
      <c r="D872" s="85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>
      <c r="A873" s="86"/>
      <c r="B873" s="87"/>
      <c r="C873" s="85"/>
      <c r="D873" s="85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>
      <c r="A874" s="86"/>
      <c r="B874" s="87"/>
      <c r="C874" s="85"/>
      <c r="D874" s="85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>
      <c r="A875" s="86"/>
      <c r="B875" s="87"/>
      <c r="C875" s="85"/>
      <c r="D875" s="85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>
      <c r="A876" s="86"/>
      <c r="B876" s="87"/>
      <c r="C876" s="85"/>
      <c r="D876" s="85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>
      <c r="A877" s="86"/>
      <c r="B877" s="87"/>
      <c r="C877" s="85"/>
      <c r="D877" s="85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>
      <c r="A878" s="86"/>
      <c r="B878" s="87"/>
      <c r="C878" s="85"/>
      <c r="D878" s="85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>
      <c r="A879" s="86"/>
      <c r="B879" s="87"/>
      <c r="C879" s="85"/>
      <c r="D879" s="85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>
      <c r="A880" s="86"/>
      <c r="B880" s="87"/>
      <c r="C880" s="85"/>
      <c r="D880" s="85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>
      <c r="A881" s="86"/>
      <c r="B881" s="87"/>
      <c r="C881" s="85"/>
      <c r="D881" s="85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>
      <c r="A882" s="86"/>
      <c r="B882" s="87"/>
      <c r="C882" s="85"/>
      <c r="D882" s="85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>
      <c r="A883" s="86"/>
      <c r="B883" s="87"/>
      <c r="C883" s="85"/>
      <c r="D883" s="85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>
      <c r="A884" s="86"/>
      <c r="B884" s="87"/>
      <c r="C884" s="85"/>
      <c r="D884" s="85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>
      <c r="A885" s="86"/>
      <c r="B885" s="87"/>
      <c r="C885" s="85"/>
      <c r="D885" s="85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>
      <c r="A886" s="86"/>
      <c r="B886" s="87"/>
      <c r="C886" s="85"/>
      <c r="D886" s="85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>
      <c r="A887" s="86"/>
      <c r="B887" s="87"/>
      <c r="C887" s="85"/>
      <c r="D887" s="85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>
      <c r="A888" s="86"/>
      <c r="B888" s="87"/>
      <c r="C888" s="85"/>
      <c r="D888" s="85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>
      <c r="A889" s="86"/>
      <c r="B889" s="87"/>
      <c r="C889" s="85"/>
      <c r="D889" s="85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>
      <c r="A890" s="86"/>
      <c r="B890" s="87"/>
      <c r="C890" s="85"/>
      <c r="D890" s="85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>
      <c r="A891" s="86"/>
      <c r="B891" s="87"/>
      <c r="C891" s="85"/>
      <c r="D891" s="85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>
      <c r="A892" s="86"/>
      <c r="B892" s="87"/>
      <c r="C892" s="85"/>
      <c r="D892" s="85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>
      <c r="A893" s="86"/>
      <c r="B893" s="87"/>
      <c r="C893" s="85"/>
      <c r="D893" s="85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>
      <c r="A894" s="86"/>
      <c r="B894" s="87"/>
      <c r="C894" s="85"/>
      <c r="D894" s="85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>
      <c r="A895" s="86"/>
      <c r="B895" s="87"/>
      <c r="C895" s="85"/>
      <c r="D895" s="85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>
      <c r="A896" s="86"/>
      <c r="B896" s="87"/>
      <c r="C896" s="85"/>
      <c r="D896" s="85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>
      <c r="A897" s="86"/>
      <c r="B897" s="87"/>
      <c r="C897" s="85"/>
      <c r="D897" s="85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>
      <c r="A898" s="86"/>
      <c r="B898" s="87"/>
      <c r="C898" s="85"/>
      <c r="D898" s="85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>
      <c r="A899" s="86"/>
      <c r="B899" s="87"/>
      <c r="C899" s="85"/>
      <c r="D899" s="85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>
      <c r="A900" s="86"/>
      <c r="B900" s="87"/>
      <c r="C900" s="85"/>
      <c r="D900" s="85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>
      <c r="A901" s="86"/>
      <c r="B901" s="87"/>
      <c r="C901" s="85"/>
      <c r="D901" s="85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>
      <c r="A902" s="86"/>
      <c r="B902" s="87"/>
      <c r="C902" s="85"/>
      <c r="D902" s="85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>
      <c r="A903" s="86"/>
      <c r="B903" s="87"/>
      <c r="C903" s="85"/>
      <c r="D903" s="85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>
      <c r="A904" s="86"/>
      <c r="B904" s="87"/>
      <c r="C904" s="85"/>
      <c r="D904" s="85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>
      <c r="A905" s="86"/>
      <c r="B905" s="87"/>
      <c r="C905" s="85"/>
      <c r="D905" s="85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>
      <c r="A906" s="86"/>
      <c r="B906" s="87"/>
      <c r="C906" s="85"/>
      <c r="D906" s="85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>
      <c r="A907" s="86"/>
      <c r="B907" s="87"/>
      <c r="C907" s="85"/>
      <c r="D907" s="85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>
      <c r="A908" s="86"/>
      <c r="B908" s="87"/>
      <c r="C908" s="85"/>
      <c r="D908" s="85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>
      <c r="A909" s="86"/>
      <c r="B909" s="87"/>
      <c r="C909" s="85"/>
      <c r="D909" s="85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>
      <c r="A910" s="86"/>
      <c r="B910" s="87"/>
      <c r="C910" s="85"/>
      <c r="D910" s="85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>
      <c r="A911" s="86"/>
      <c r="B911" s="87"/>
      <c r="C911" s="85"/>
      <c r="D911" s="85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>
      <c r="A912" s="86"/>
      <c r="B912" s="87"/>
      <c r="C912" s="85"/>
      <c r="D912" s="85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>
      <c r="A913" s="86"/>
      <c r="B913" s="87"/>
      <c r="C913" s="85"/>
      <c r="D913" s="85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>
      <c r="A914" s="86"/>
      <c r="B914" s="87"/>
      <c r="C914" s="85"/>
      <c r="D914" s="85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>
      <c r="A915" s="86"/>
      <c r="B915" s="87"/>
      <c r="C915" s="85"/>
      <c r="D915" s="85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>
      <c r="A916" s="86"/>
      <c r="B916" s="87"/>
      <c r="C916" s="85"/>
      <c r="D916" s="85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>
      <c r="A917" s="86"/>
      <c r="B917" s="87"/>
      <c r="C917" s="85"/>
      <c r="D917" s="85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>
      <c r="A918" s="86"/>
      <c r="B918" s="87"/>
      <c r="C918" s="85"/>
      <c r="D918" s="85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>
      <c r="A919" s="86"/>
      <c r="B919" s="87"/>
      <c r="C919" s="85"/>
      <c r="D919" s="85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>
      <c r="A920" s="86"/>
      <c r="B920" s="87"/>
      <c r="C920" s="85"/>
      <c r="D920" s="85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>
      <c r="A921" s="86"/>
      <c r="B921" s="87"/>
      <c r="C921" s="85"/>
      <c r="D921" s="85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>
      <c r="A922" s="86"/>
      <c r="B922" s="87"/>
      <c r="C922" s="85"/>
      <c r="D922" s="85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>
      <c r="A923" s="86"/>
      <c r="B923" s="87"/>
      <c r="C923" s="85"/>
      <c r="D923" s="85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>
      <c r="A924" s="86"/>
      <c r="B924" s="87"/>
      <c r="C924" s="85"/>
      <c r="D924" s="85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>
      <c r="A925" s="86"/>
      <c r="B925" s="87"/>
      <c r="C925" s="85"/>
      <c r="D925" s="85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>
      <c r="A926" s="86"/>
      <c r="B926" s="87"/>
      <c r="C926" s="85"/>
      <c r="D926" s="85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>
      <c r="A927" s="86"/>
      <c r="B927" s="87"/>
      <c r="C927" s="85"/>
      <c r="D927" s="85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>
      <c r="A928" s="86"/>
      <c r="B928" s="87"/>
      <c r="C928" s="85"/>
      <c r="D928" s="85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>
      <c r="A929" s="86"/>
      <c r="B929" s="87"/>
      <c r="C929" s="85"/>
      <c r="D929" s="85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>
      <c r="A930" s="86"/>
      <c r="B930" s="87"/>
      <c r="C930" s="85"/>
      <c r="D930" s="85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>
      <c r="A931" s="86"/>
      <c r="B931" s="87"/>
      <c r="C931" s="85"/>
      <c r="D931" s="85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>
      <c r="A932" s="86"/>
      <c r="B932" s="87"/>
      <c r="C932" s="85"/>
      <c r="D932" s="85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>
      <c r="A933" s="86"/>
      <c r="B933" s="87"/>
      <c r="C933" s="85"/>
      <c r="D933" s="85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>
      <c r="A934" s="86"/>
      <c r="B934" s="87"/>
      <c r="C934" s="85"/>
      <c r="D934" s="85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>
      <c r="A935" s="86"/>
      <c r="B935" s="87"/>
      <c r="C935" s="85"/>
      <c r="D935" s="85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>
      <c r="A936" s="86"/>
      <c r="B936" s="87"/>
      <c r="C936" s="85"/>
      <c r="D936" s="85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>
      <c r="A937" s="86"/>
      <c r="B937" s="87"/>
      <c r="C937" s="85"/>
      <c r="D937" s="85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>
      <c r="A938" s="86"/>
      <c r="B938" s="87"/>
      <c r="C938" s="85"/>
      <c r="D938" s="85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>
      <c r="A939" s="86"/>
      <c r="B939" s="87"/>
      <c r="C939" s="85"/>
      <c r="D939" s="85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>
      <c r="A940" s="86"/>
      <c r="B940" s="87"/>
      <c r="C940" s="85"/>
      <c r="D940" s="85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>
      <c r="A941" s="86"/>
      <c r="B941" s="87"/>
      <c r="C941" s="85"/>
      <c r="D941" s="85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>
      <c r="A942" s="86"/>
      <c r="B942" s="87"/>
      <c r="C942" s="85"/>
      <c r="D942" s="85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>
      <c r="A943" s="86"/>
      <c r="B943" s="87"/>
      <c r="C943" s="85"/>
      <c r="D943" s="85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>
      <c r="A944" s="86"/>
      <c r="B944" s="87"/>
      <c r="C944" s="85"/>
      <c r="D944" s="85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>
      <c r="A945" s="86"/>
      <c r="B945" s="87"/>
      <c r="C945" s="85"/>
      <c r="D945" s="85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>
      <c r="A946" s="86"/>
      <c r="B946" s="87"/>
      <c r="C946" s="85"/>
      <c r="D946" s="85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>
      <c r="A947" s="86"/>
      <c r="B947" s="87"/>
      <c r="C947" s="85"/>
      <c r="D947" s="85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>
      <c r="A948" s="86"/>
      <c r="B948" s="87"/>
      <c r="C948" s="85"/>
      <c r="D948" s="85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>
      <c r="A949" s="86"/>
      <c r="B949" s="87"/>
      <c r="C949" s="85"/>
      <c r="D949" s="85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>
      <c r="A950" s="86"/>
      <c r="B950" s="87"/>
      <c r="C950" s="85"/>
      <c r="D950" s="85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>
      <c r="A951" s="86"/>
      <c r="B951" s="87"/>
      <c r="C951" s="85"/>
      <c r="D951" s="85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>
      <c r="A952" s="86"/>
      <c r="B952" s="87"/>
      <c r="C952" s="85"/>
      <c r="D952" s="85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>
      <c r="A953" s="86"/>
      <c r="B953" s="87"/>
      <c r="C953" s="85"/>
      <c r="D953" s="85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>
      <c r="A954" s="86"/>
      <c r="B954" s="87"/>
      <c r="C954" s="85"/>
      <c r="D954" s="85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>
      <c r="A955" s="86"/>
      <c r="B955" s="87"/>
      <c r="C955" s="85"/>
      <c r="D955" s="85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>
      <c r="A956" s="86"/>
      <c r="B956" s="87"/>
      <c r="C956" s="85"/>
      <c r="D956" s="85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>
      <c r="A957" s="86"/>
      <c r="B957" s="87"/>
      <c r="C957" s="85"/>
      <c r="D957" s="85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>
      <c r="A958" s="86"/>
      <c r="B958" s="87"/>
      <c r="C958" s="85"/>
      <c r="D958" s="85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>
      <c r="A959" s="86"/>
      <c r="B959" s="87"/>
      <c r="C959" s="85"/>
      <c r="D959" s="85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>
      <c r="A960" s="86"/>
      <c r="B960" s="87"/>
      <c r="C960" s="85"/>
      <c r="D960" s="85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>
      <c r="A961" s="86"/>
      <c r="B961" s="87"/>
      <c r="C961" s="85"/>
      <c r="D961" s="85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>
      <c r="A962" s="86"/>
      <c r="B962" s="87"/>
      <c r="C962" s="85"/>
      <c r="D962" s="85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>
      <c r="A963" s="86"/>
      <c r="B963" s="87"/>
      <c r="C963" s="85"/>
      <c r="D963" s="85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>
      <c r="A964" s="86"/>
      <c r="B964" s="87"/>
      <c r="C964" s="85"/>
      <c r="D964" s="85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>
      <c r="A965" s="86"/>
      <c r="B965" s="87"/>
      <c r="C965" s="85"/>
      <c r="D965" s="85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>
      <c r="A966" s="86"/>
      <c r="B966" s="87"/>
      <c r="C966" s="85"/>
      <c r="D966" s="85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>
      <c r="A967" s="86"/>
      <c r="B967" s="87"/>
      <c r="C967" s="85"/>
      <c r="D967" s="85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>
      <c r="A968" s="86"/>
      <c r="B968" s="87"/>
      <c r="C968" s="85"/>
      <c r="D968" s="85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>
      <c r="A969" s="86"/>
      <c r="B969" s="87"/>
      <c r="C969" s="85"/>
      <c r="D969" s="85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>
      <c r="A970" s="86"/>
      <c r="B970" s="87"/>
      <c r="C970" s="85"/>
      <c r="D970" s="85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>
      <c r="A971" s="86"/>
      <c r="B971" s="87"/>
      <c r="C971" s="85"/>
      <c r="D971" s="85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>
      <c r="A972" s="86"/>
      <c r="B972" s="87"/>
      <c r="C972" s="85"/>
      <c r="D972" s="85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>
      <c r="A973" s="86"/>
      <c r="B973" s="87"/>
      <c r="C973" s="85"/>
      <c r="D973" s="85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>
      <c r="A974" s="86"/>
      <c r="B974" s="87"/>
      <c r="C974" s="85"/>
      <c r="D974" s="85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>
      <c r="A975" s="86"/>
      <c r="B975" s="87"/>
      <c r="C975" s="85"/>
      <c r="D975" s="85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>
      <c r="A976" s="86"/>
      <c r="B976" s="87"/>
      <c r="C976" s="85"/>
      <c r="D976" s="85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>
      <c r="A977" s="86"/>
      <c r="B977" s="87"/>
      <c r="C977" s="85"/>
      <c r="D977" s="85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>
      <c r="A978" s="86"/>
      <c r="B978" s="87"/>
      <c r="C978" s="85"/>
      <c r="D978" s="85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</row>
    <row r="979">
      <c r="A979" s="86"/>
      <c r="B979" s="87"/>
      <c r="C979" s="85"/>
      <c r="D979" s="85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</row>
    <row r="980">
      <c r="A980" s="86"/>
      <c r="B980" s="87"/>
      <c r="C980" s="85"/>
      <c r="D980" s="85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</row>
    <row r="981">
      <c r="A981" s="86"/>
      <c r="B981" s="87"/>
      <c r="C981" s="85"/>
      <c r="D981" s="85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</row>
    <row r="982">
      <c r="A982" s="86"/>
      <c r="B982" s="87"/>
      <c r="C982" s="85"/>
      <c r="D982" s="85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</row>
    <row r="983">
      <c r="A983" s="86"/>
      <c r="B983" s="87"/>
      <c r="C983" s="85"/>
      <c r="D983" s="85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</row>
    <row r="984">
      <c r="A984" s="86"/>
      <c r="B984" s="87"/>
      <c r="C984" s="85"/>
      <c r="D984" s="85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</row>
    <row r="985">
      <c r="A985" s="86"/>
      <c r="B985" s="87"/>
      <c r="C985" s="85"/>
      <c r="D985" s="85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</row>
    <row r="986">
      <c r="A986" s="86"/>
      <c r="B986" s="87"/>
      <c r="C986" s="85"/>
      <c r="D986" s="85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</row>
    <row r="987">
      <c r="A987" s="86"/>
      <c r="B987" s="87"/>
      <c r="C987" s="85"/>
      <c r="D987" s="85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</row>
    <row r="988">
      <c r="A988" s="86"/>
      <c r="B988" s="87"/>
      <c r="C988" s="85"/>
      <c r="D988" s="85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</row>
    <row r="989">
      <c r="A989" s="86"/>
      <c r="B989" s="87"/>
      <c r="C989" s="85"/>
      <c r="D989" s="85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</row>
    <row r="990">
      <c r="A990" s="86"/>
      <c r="B990" s="87"/>
      <c r="C990" s="85"/>
      <c r="D990" s="85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</row>
    <row r="991">
      <c r="A991" s="86"/>
      <c r="B991" s="87"/>
      <c r="C991" s="85"/>
      <c r="D991" s="85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</row>
    <row r="992">
      <c r="A992" s="86"/>
      <c r="B992" s="87"/>
      <c r="C992" s="85"/>
      <c r="D992" s="85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</row>
    <row r="993">
      <c r="A993" s="86"/>
      <c r="B993" s="87"/>
      <c r="C993" s="85"/>
      <c r="D993" s="85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</row>
    <row r="994">
      <c r="A994" s="86"/>
      <c r="B994" s="87"/>
      <c r="C994" s="85"/>
      <c r="D994" s="85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</row>
    <row r="995">
      <c r="A995" s="86"/>
      <c r="B995" s="87"/>
      <c r="C995" s="85"/>
      <c r="D995" s="85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</row>
    <row r="996">
      <c r="A996" s="86"/>
      <c r="B996" s="87"/>
      <c r="C996" s="85"/>
      <c r="D996" s="85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</row>
    <row r="997">
      <c r="A997" s="86"/>
      <c r="B997" s="87"/>
      <c r="C997" s="85"/>
      <c r="D997" s="85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</row>
    <row r="998">
      <c r="A998" s="86"/>
      <c r="B998" s="87"/>
      <c r="C998" s="85"/>
      <c r="D998" s="85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</row>
    <row r="999">
      <c r="A999" s="86"/>
      <c r="B999" s="87"/>
      <c r="C999" s="85"/>
      <c r="D999" s="85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</row>
    <row r="1000">
      <c r="A1000" s="86"/>
      <c r="B1000" s="87"/>
      <c r="C1000" s="85"/>
      <c r="D1000" s="85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</row>
    <row r="1001">
      <c r="A1001" s="86"/>
      <c r="B1001" s="87"/>
      <c r="C1001" s="85"/>
      <c r="D1001" s="85"/>
      <c r="E1001" s="86"/>
      <c r="F1001" s="86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  <c r="Q1001" s="86"/>
      <c r="R1001" s="86"/>
      <c r="S1001" s="86"/>
      <c r="T1001" s="86"/>
      <c r="U1001" s="86"/>
      <c r="V1001" s="86"/>
      <c r="W1001" s="86"/>
      <c r="X1001" s="86"/>
      <c r="Y1001" s="86"/>
      <c r="Z1001" s="86"/>
    </row>
    <row r="1002">
      <c r="A1002" s="86"/>
      <c r="B1002" s="87"/>
      <c r="C1002" s="85"/>
      <c r="D1002" s="85"/>
      <c r="E1002" s="86"/>
      <c r="F1002" s="86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  <c r="Q1002" s="86"/>
      <c r="R1002" s="86"/>
      <c r="S1002" s="86"/>
      <c r="T1002" s="86"/>
      <c r="U1002" s="86"/>
      <c r="V1002" s="86"/>
      <c r="W1002" s="86"/>
      <c r="X1002" s="86"/>
      <c r="Y1002" s="86"/>
      <c r="Z1002" s="8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88"/>
    <col customWidth="1" min="2" max="2" width="12.75"/>
    <col customWidth="1" min="4" max="4" width="12.75"/>
    <col customWidth="1" min="6" max="6" width="12.75"/>
    <col customWidth="1" min="9" max="9" width="74.5"/>
    <col customWidth="1" min="10" max="10" width="22.75"/>
  </cols>
  <sheetData>
    <row r="1">
      <c r="A1" s="82" t="s">
        <v>230</v>
      </c>
      <c r="B1" s="84"/>
      <c r="D1" s="84"/>
      <c r="E1" s="86"/>
      <c r="F1" s="84"/>
      <c r="G1" s="86"/>
      <c r="H1" s="86"/>
      <c r="I1" s="84"/>
      <c r="J1" s="85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</row>
    <row r="2">
      <c r="A2" s="82" t="s">
        <v>231</v>
      </c>
      <c r="B2" s="84" t="s">
        <v>232</v>
      </c>
      <c r="D2" s="84" t="s">
        <v>233</v>
      </c>
      <c r="E2" s="86"/>
      <c r="F2" s="84" t="s">
        <v>234</v>
      </c>
      <c r="G2" s="86"/>
      <c r="H2" s="86"/>
      <c r="I2" s="84"/>
      <c r="J2" s="85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</row>
    <row r="3">
      <c r="A3" s="82"/>
      <c r="B3" s="84"/>
      <c r="D3" s="84"/>
      <c r="E3" s="86"/>
      <c r="F3" s="84"/>
      <c r="G3" s="86"/>
      <c r="H3" s="86"/>
      <c r="I3" s="84"/>
      <c r="J3" s="85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</row>
    <row r="4">
      <c r="A4" s="82" t="s">
        <v>235</v>
      </c>
      <c r="B4" s="84">
        <v>2026.0</v>
      </c>
      <c r="D4" s="84">
        <v>2027.0</v>
      </c>
      <c r="E4" s="86"/>
      <c r="F4" s="84">
        <v>2028.0</v>
      </c>
      <c r="G4" s="86"/>
      <c r="H4" s="86"/>
      <c r="I4" s="84"/>
      <c r="J4" s="85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</row>
    <row r="5">
      <c r="A5" s="82"/>
      <c r="B5" s="83"/>
      <c r="D5" s="83"/>
      <c r="E5" s="86"/>
      <c r="F5" s="83"/>
      <c r="G5" s="86"/>
      <c r="H5" s="86"/>
      <c r="I5" s="84"/>
      <c r="J5" s="85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</row>
    <row r="6">
      <c r="A6" s="82" t="s">
        <v>236</v>
      </c>
      <c r="B6" s="83"/>
      <c r="D6" s="83"/>
      <c r="E6" s="86"/>
      <c r="F6" s="83"/>
      <c r="G6" s="86"/>
      <c r="H6" s="86"/>
      <c r="I6" s="84"/>
      <c r="J6" s="85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</row>
    <row r="7">
      <c r="A7" s="77"/>
      <c r="B7" s="83"/>
      <c r="D7" s="83"/>
      <c r="E7" s="86"/>
      <c r="F7" s="83"/>
      <c r="G7" s="86"/>
      <c r="H7" s="86"/>
      <c r="I7" s="85"/>
      <c r="J7" s="84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</row>
    <row r="8">
      <c r="A8" s="77" t="s">
        <v>125</v>
      </c>
      <c r="B8" s="84">
        <v>500.0</v>
      </c>
      <c r="D8" s="84">
        <v>500.0</v>
      </c>
      <c r="E8" s="86"/>
      <c r="F8" s="84">
        <v>500.0</v>
      </c>
      <c r="G8" s="86"/>
      <c r="H8" s="86"/>
      <c r="I8" s="84" t="s">
        <v>126</v>
      </c>
      <c r="J8" s="84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</row>
    <row r="9">
      <c r="A9" s="77" t="s">
        <v>127</v>
      </c>
      <c r="B9" s="83">
        <v>70.0</v>
      </c>
      <c r="D9" s="83">
        <v>70.0</v>
      </c>
      <c r="E9" s="86"/>
      <c r="F9" s="83">
        <v>70.0</v>
      </c>
      <c r="G9" s="86"/>
      <c r="H9" s="86"/>
      <c r="I9" s="84" t="s">
        <v>126</v>
      </c>
      <c r="J9" s="84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</row>
    <row r="10">
      <c r="A10" s="77"/>
      <c r="B10" s="87"/>
      <c r="D10" s="87"/>
      <c r="E10" s="86"/>
      <c r="F10" s="87"/>
      <c r="G10" s="86"/>
      <c r="H10" s="86"/>
      <c r="I10" s="84"/>
      <c r="J10" s="84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</row>
    <row r="11">
      <c r="A11" s="77" t="s">
        <v>128</v>
      </c>
      <c r="B11" s="84">
        <v>500.0</v>
      </c>
      <c r="D11" s="84">
        <v>500.0</v>
      </c>
      <c r="E11" s="86"/>
      <c r="F11" s="84">
        <v>500.0</v>
      </c>
      <c r="G11" s="86"/>
      <c r="H11" s="86"/>
      <c r="I11" s="84" t="s">
        <v>126</v>
      </c>
      <c r="J11" s="84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</row>
    <row r="12">
      <c r="A12" s="77" t="s">
        <v>129</v>
      </c>
      <c r="B12" s="83">
        <v>50.0</v>
      </c>
      <c r="D12" s="83">
        <v>50.0</v>
      </c>
      <c r="E12" s="86"/>
      <c r="F12" s="83">
        <v>50.0</v>
      </c>
      <c r="G12" s="86"/>
      <c r="H12" s="86"/>
      <c r="I12" s="84" t="s">
        <v>126</v>
      </c>
      <c r="J12" s="84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</row>
    <row r="13">
      <c r="A13" s="77"/>
      <c r="B13" s="87"/>
      <c r="D13" s="87"/>
      <c r="E13" s="86"/>
      <c r="F13" s="87"/>
      <c r="G13" s="86"/>
      <c r="H13" s="86"/>
      <c r="I13" s="84"/>
      <c r="J13" s="84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</row>
    <row r="14">
      <c r="A14" s="77" t="s">
        <v>130</v>
      </c>
      <c r="B14" s="87">
        <f>B8*B9</f>
        <v>35000</v>
      </c>
      <c r="D14" s="87">
        <f>D8*D9</f>
        <v>35000</v>
      </c>
      <c r="E14" s="86"/>
      <c r="F14" s="87">
        <f>F8*F9</f>
        <v>35000</v>
      </c>
      <c r="G14" s="86"/>
      <c r="H14" s="86"/>
      <c r="I14" s="84"/>
      <c r="J14" s="84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</row>
    <row r="15">
      <c r="A15" s="77" t="s">
        <v>131</v>
      </c>
      <c r="B15" s="87">
        <f>B11*B12</f>
        <v>25000</v>
      </c>
      <c r="D15" s="87">
        <f>D11*D12</f>
        <v>25000</v>
      </c>
      <c r="E15" s="86"/>
      <c r="F15" s="87">
        <f>F11*F12</f>
        <v>25000</v>
      </c>
      <c r="G15" s="86"/>
      <c r="H15" s="86"/>
      <c r="I15" s="84"/>
      <c r="J15" s="84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</row>
    <row r="16">
      <c r="A16" s="88"/>
      <c r="B16" s="89"/>
      <c r="D16" s="89"/>
      <c r="E16" s="86"/>
      <c r="F16" s="89"/>
      <c r="G16" s="86"/>
      <c r="H16" s="86"/>
      <c r="I16" s="84"/>
      <c r="J16" s="85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</row>
    <row r="17">
      <c r="A17" s="88" t="s">
        <v>132</v>
      </c>
      <c r="B17" s="89">
        <f>B14+B15</f>
        <v>60000</v>
      </c>
      <c r="D17" s="89">
        <f>D14+D15</f>
        <v>60000</v>
      </c>
      <c r="E17" s="86"/>
      <c r="F17" s="89">
        <f>F14+F15</f>
        <v>60000</v>
      </c>
      <c r="G17" s="86"/>
      <c r="H17" s="86"/>
      <c r="I17" s="84" t="s">
        <v>133</v>
      </c>
      <c r="J17" s="85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</row>
    <row r="18">
      <c r="A18" s="77"/>
      <c r="B18" s="83"/>
      <c r="D18" s="83"/>
      <c r="E18" s="86"/>
      <c r="F18" s="83"/>
      <c r="G18" s="86"/>
      <c r="H18" s="86"/>
      <c r="I18" s="85"/>
      <c r="J18" s="84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</row>
    <row r="19">
      <c r="A19" s="77" t="s">
        <v>237</v>
      </c>
      <c r="B19" s="83"/>
      <c r="D19" s="83"/>
      <c r="E19" s="86"/>
      <c r="F19" s="83"/>
      <c r="G19" s="86"/>
      <c r="H19" s="86"/>
      <c r="I19" s="85"/>
      <c r="J19" s="84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</row>
    <row r="20">
      <c r="A20" s="77"/>
      <c r="B20" s="83"/>
      <c r="D20" s="83"/>
      <c r="E20" s="86"/>
      <c r="F20" s="83"/>
      <c r="G20" s="86"/>
      <c r="H20" s="86"/>
      <c r="I20" s="85"/>
      <c r="J20" s="84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</row>
    <row r="21">
      <c r="A21" s="90" t="s">
        <v>134</v>
      </c>
      <c r="B21" s="91">
        <v>60000.0</v>
      </c>
      <c r="D21" s="91">
        <v>60000.0</v>
      </c>
      <c r="E21" s="94"/>
      <c r="F21" s="91">
        <v>60000.0</v>
      </c>
      <c r="G21" s="94"/>
      <c r="H21" s="94"/>
      <c r="I21" s="92"/>
      <c r="J21" s="93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</row>
    <row r="22">
      <c r="A22" s="77"/>
      <c r="B22" s="83"/>
      <c r="D22" s="83"/>
      <c r="E22" s="86"/>
      <c r="F22" s="83"/>
      <c r="G22" s="86"/>
      <c r="H22" s="86"/>
      <c r="I22" s="85"/>
      <c r="J22" s="84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</row>
    <row r="23">
      <c r="A23" s="136"/>
      <c r="B23" s="137"/>
      <c r="C23" s="138"/>
      <c r="D23" s="137"/>
      <c r="E23" s="139"/>
      <c r="F23" s="137"/>
      <c r="G23" s="139"/>
      <c r="H23" s="139"/>
      <c r="I23" s="140"/>
      <c r="J23" s="141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</row>
    <row r="24">
      <c r="A24" s="77" t="s">
        <v>238</v>
      </c>
      <c r="B24" s="83"/>
      <c r="D24" s="83"/>
      <c r="E24" s="86"/>
      <c r="F24" s="83"/>
      <c r="G24" s="86"/>
      <c r="H24" s="86"/>
      <c r="I24" s="85"/>
      <c r="J24" s="84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</row>
    <row r="25">
      <c r="A25" s="77"/>
      <c r="B25" s="83"/>
      <c r="D25" s="83"/>
      <c r="E25" s="86"/>
      <c r="F25" s="83"/>
      <c r="G25" s="86"/>
      <c r="H25" s="86"/>
      <c r="I25" s="85"/>
      <c r="J25" s="84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</row>
    <row r="26">
      <c r="A26" s="77" t="s">
        <v>135</v>
      </c>
      <c r="B26" s="83">
        <v>50000.0</v>
      </c>
      <c r="D26" s="83">
        <v>50000.0</v>
      </c>
      <c r="E26" s="86"/>
      <c r="F26" s="83">
        <v>50000.0</v>
      </c>
      <c r="G26" s="86"/>
      <c r="H26" s="86"/>
      <c r="I26" s="85"/>
      <c r="J26" s="84" t="s">
        <v>126</v>
      </c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</row>
    <row r="27">
      <c r="A27" s="77" t="s">
        <v>136</v>
      </c>
      <c r="B27" s="87">
        <f>B26/1.21*0.21</f>
        <v>8677.68595</v>
      </c>
      <c r="D27" s="87">
        <f>D26/1.21*0.21</f>
        <v>8677.68595</v>
      </c>
      <c r="E27" s="86"/>
      <c r="F27" s="87">
        <f>F26/1.21*0.21</f>
        <v>8677.68595</v>
      </c>
      <c r="G27" s="86"/>
      <c r="H27" s="86"/>
      <c r="I27" s="84" t="s">
        <v>137</v>
      </c>
      <c r="J27" s="85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</row>
    <row r="28">
      <c r="A28" s="77" t="s">
        <v>138</v>
      </c>
      <c r="B28" s="87">
        <f>B26-B27</f>
        <v>41322.31405</v>
      </c>
      <c r="D28" s="87">
        <f>D26-D27</f>
        <v>41322.31405</v>
      </c>
      <c r="E28" s="86"/>
      <c r="F28" s="87">
        <f>F26-F27</f>
        <v>41322.31405</v>
      </c>
      <c r="G28" s="86"/>
      <c r="H28" s="86"/>
      <c r="I28" s="84" t="s">
        <v>139</v>
      </c>
      <c r="J28" s="85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</row>
    <row r="29">
      <c r="A29" s="77"/>
      <c r="B29" s="85"/>
      <c r="D29" s="85"/>
      <c r="E29" s="86"/>
      <c r="F29" s="85"/>
      <c r="G29" s="86"/>
      <c r="H29" s="86"/>
      <c r="I29" s="84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</row>
    <row r="30">
      <c r="A30" s="77" t="s">
        <v>140</v>
      </c>
      <c r="B30" s="87">
        <f>B28/5</f>
        <v>8264.46281</v>
      </c>
      <c r="D30" s="87">
        <f>D28/5</f>
        <v>8264.46281</v>
      </c>
      <c r="E30" s="86"/>
      <c r="F30" s="87">
        <f>F28/5</f>
        <v>8264.46281</v>
      </c>
      <c r="G30" s="86"/>
      <c r="H30" s="86"/>
      <c r="I30" s="84" t="s">
        <v>141</v>
      </c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</row>
    <row r="31">
      <c r="A31" s="77" t="s">
        <v>239</v>
      </c>
      <c r="B31" s="83">
        <f>0.28*B28</f>
        <v>11570.24793</v>
      </c>
      <c r="D31" s="83">
        <v>0.0</v>
      </c>
      <c r="E31" s="86"/>
      <c r="F31" s="83">
        <v>0.0</v>
      </c>
      <c r="G31" s="86"/>
      <c r="H31" s="86"/>
      <c r="I31" s="84" t="s">
        <v>143</v>
      </c>
      <c r="J31" s="85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</row>
    <row r="32">
      <c r="A32" s="77" t="s">
        <v>240</v>
      </c>
      <c r="B32" s="83">
        <v>1000.0</v>
      </c>
      <c r="D32" s="83">
        <v>1000.0</v>
      </c>
      <c r="E32" s="86"/>
      <c r="F32" s="83">
        <v>1000.0</v>
      </c>
      <c r="G32" s="86"/>
      <c r="H32" s="86"/>
      <c r="I32" s="84"/>
      <c r="J32" s="85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</row>
    <row r="33">
      <c r="A33" s="77" t="s">
        <v>241</v>
      </c>
      <c r="B33" s="83">
        <v>1000.0</v>
      </c>
      <c r="D33" s="83">
        <v>1000.0</v>
      </c>
      <c r="E33" s="86"/>
      <c r="F33" s="83">
        <v>1000.0</v>
      </c>
      <c r="G33" s="86"/>
      <c r="H33" s="86"/>
      <c r="I33" s="84"/>
      <c r="J33" s="85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</row>
    <row r="34">
      <c r="A34" s="77" t="s">
        <v>242</v>
      </c>
      <c r="B34" s="83">
        <v>1000.0</v>
      </c>
      <c r="D34" s="83">
        <v>1000.0</v>
      </c>
      <c r="E34" s="86"/>
      <c r="F34" s="83">
        <v>1000.0</v>
      </c>
      <c r="G34" s="86"/>
      <c r="H34" s="86"/>
      <c r="I34" s="84"/>
      <c r="J34" s="85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</row>
    <row r="35">
      <c r="A35" s="77" t="s">
        <v>147</v>
      </c>
      <c r="B35" s="87">
        <f>B28*5%</f>
        <v>2066.115702</v>
      </c>
      <c r="D35" s="87">
        <f>D28*5%</f>
        <v>2066.115702</v>
      </c>
      <c r="E35" s="86"/>
      <c r="F35" s="87">
        <f>F28*5%</f>
        <v>2066.115702</v>
      </c>
      <c r="G35" s="86"/>
      <c r="H35" s="86"/>
      <c r="I35" s="84" t="s">
        <v>148</v>
      </c>
      <c r="J35" s="85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</row>
    <row r="36">
      <c r="A36" s="77" t="s">
        <v>243</v>
      </c>
      <c r="B36" s="83">
        <f>sum(B30:B35)</f>
        <v>24900.82645</v>
      </c>
      <c r="D36" s="83">
        <f>sum(D30:D35)</f>
        <v>13330.57851</v>
      </c>
      <c r="E36" s="86"/>
      <c r="F36" s="83">
        <f>sum(F30:F35)</f>
        <v>13330.57851</v>
      </c>
      <c r="G36" s="86"/>
      <c r="H36" s="86"/>
      <c r="I36" s="84"/>
      <c r="J36" s="85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</row>
    <row r="37">
      <c r="A37" s="86"/>
      <c r="B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</row>
    <row r="38">
      <c r="A38" s="77" t="s">
        <v>244</v>
      </c>
      <c r="B38" s="77">
        <v>1000.0</v>
      </c>
      <c r="D38" s="77">
        <v>1000.0</v>
      </c>
      <c r="E38" s="86"/>
      <c r="F38" s="77">
        <v>1000.0</v>
      </c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</row>
    <row r="39">
      <c r="A39" s="77" t="s">
        <v>245</v>
      </c>
      <c r="B39" s="77">
        <v>1000.0</v>
      </c>
      <c r="D39" s="77">
        <v>1000.0</v>
      </c>
      <c r="E39" s="86"/>
      <c r="F39" s="77">
        <v>1000.0</v>
      </c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</row>
    <row r="40">
      <c r="A40" s="77" t="s">
        <v>246</v>
      </c>
      <c r="B40" s="77">
        <v>1000.0</v>
      </c>
      <c r="D40" s="77">
        <v>1000.0</v>
      </c>
      <c r="E40" s="86"/>
      <c r="F40" s="77">
        <v>1000.0</v>
      </c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</row>
    <row r="41">
      <c r="A41" s="86"/>
      <c r="B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</row>
    <row r="42">
      <c r="A42" s="77" t="s">
        <v>247</v>
      </c>
      <c r="B42" s="99">
        <f>sum(B36:B40)</f>
        <v>27900.82645</v>
      </c>
      <c r="D42" s="99">
        <f>sum(D36:D40)</f>
        <v>16330.57851</v>
      </c>
      <c r="E42" s="86"/>
      <c r="F42" s="99">
        <f>sum(F36:F40)</f>
        <v>16330.57851</v>
      </c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</row>
    <row r="43">
      <c r="A43" s="86"/>
      <c r="B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</row>
    <row r="44">
      <c r="A44" s="86"/>
      <c r="B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</row>
    <row r="45">
      <c r="A45" s="77" t="s">
        <v>248</v>
      </c>
      <c r="B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</row>
    <row r="46">
      <c r="A46" s="139"/>
      <c r="B46" s="139"/>
      <c r="C46" s="138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</row>
    <row r="47">
      <c r="A47" s="77" t="s">
        <v>249</v>
      </c>
      <c r="B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</row>
    <row r="48">
      <c r="A48" s="77"/>
      <c r="B48" s="78"/>
      <c r="D48" s="78"/>
      <c r="E48" s="86"/>
      <c r="F48" s="78"/>
      <c r="G48" s="86"/>
      <c r="H48" s="86"/>
      <c r="I48" s="84"/>
      <c r="J48" s="84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</row>
    <row r="49">
      <c r="A49" s="77" t="s">
        <v>151</v>
      </c>
      <c r="B49" s="78">
        <v>6000.0</v>
      </c>
      <c r="D49" s="78">
        <v>6000.0</v>
      </c>
      <c r="E49" s="86"/>
      <c r="F49" s="78">
        <v>6000.0</v>
      </c>
      <c r="G49" s="86"/>
      <c r="H49" s="86"/>
      <c r="I49" s="84" t="s">
        <v>152</v>
      </c>
      <c r="J49" s="84" t="s">
        <v>126</v>
      </c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</row>
    <row r="50">
      <c r="A50" s="77" t="s">
        <v>153</v>
      </c>
      <c r="B50" s="95">
        <v>0.22</v>
      </c>
      <c r="D50" s="95">
        <v>0.22</v>
      </c>
      <c r="E50" s="86"/>
      <c r="F50" s="95">
        <v>0.22</v>
      </c>
      <c r="G50" s="86"/>
      <c r="H50" s="86"/>
      <c r="I50" s="84" t="s">
        <v>154</v>
      </c>
      <c r="J50" s="85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</row>
    <row r="51">
      <c r="A51" s="77" t="s">
        <v>155</v>
      </c>
      <c r="B51" s="83">
        <f>B28*B50</f>
        <v>9090.909091</v>
      </c>
      <c r="D51" s="83">
        <f>D28*D50</f>
        <v>9090.909091</v>
      </c>
      <c r="E51" s="86"/>
      <c r="F51" s="83">
        <f>F28*F50</f>
        <v>9090.909091</v>
      </c>
      <c r="G51" s="86"/>
      <c r="H51" s="86"/>
      <c r="I51" s="84" t="s">
        <v>156</v>
      </c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</row>
    <row r="52">
      <c r="A52" s="77"/>
      <c r="B52" s="87"/>
      <c r="D52" s="87"/>
      <c r="E52" s="86"/>
      <c r="F52" s="87"/>
      <c r="G52" s="86"/>
      <c r="H52" s="86"/>
      <c r="I52" s="84"/>
      <c r="J52" s="85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</row>
    <row r="53">
      <c r="A53" s="82" t="s">
        <v>157</v>
      </c>
      <c r="B53" s="96">
        <f>B21-B36+B50</f>
        <v>35099.39355</v>
      </c>
      <c r="D53" s="96">
        <f>D21-D36+D50</f>
        <v>46669.64149</v>
      </c>
      <c r="E53" s="86"/>
      <c r="F53" s="96">
        <f>F21-F36+F50</f>
        <v>46669.64149</v>
      </c>
      <c r="G53" s="86"/>
      <c r="H53" s="86"/>
      <c r="I53" s="84" t="s">
        <v>158</v>
      </c>
      <c r="J53" s="85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</row>
    <row r="54">
      <c r="A54" s="77"/>
      <c r="B54" s="97"/>
      <c r="D54" s="97"/>
      <c r="E54" s="86"/>
      <c r="F54" s="97"/>
      <c r="G54" s="86"/>
      <c r="H54" s="86"/>
      <c r="I54" s="84"/>
      <c r="J54" s="84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</row>
    <row r="55">
      <c r="A55" s="77" t="s">
        <v>159</v>
      </c>
      <c r="B55" s="97">
        <v>1200.0</v>
      </c>
      <c r="D55" s="97">
        <v>1200.0</v>
      </c>
      <c r="E55" s="86"/>
      <c r="F55" s="97">
        <v>1200.0</v>
      </c>
      <c r="G55" s="86"/>
      <c r="H55" s="86"/>
      <c r="I55" s="84" t="s">
        <v>160</v>
      </c>
      <c r="J55" s="84" t="s">
        <v>126</v>
      </c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</row>
    <row r="56">
      <c r="A56" s="77" t="s">
        <v>161</v>
      </c>
      <c r="B56" s="97">
        <v>2123.0</v>
      </c>
      <c r="D56" s="97">
        <v>2123.0</v>
      </c>
      <c r="E56" s="86"/>
      <c r="F56" s="97">
        <v>2123.0</v>
      </c>
      <c r="G56" s="86"/>
      <c r="H56" s="86"/>
      <c r="I56" s="84" t="s">
        <v>162</v>
      </c>
      <c r="J56" s="84" t="s">
        <v>126</v>
      </c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</row>
    <row r="57">
      <c r="A57" s="77" t="s">
        <v>163</v>
      </c>
      <c r="B57" s="97">
        <f>B53-B55-B56-B59</f>
        <v>31776.26655</v>
      </c>
      <c r="D57" s="97">
        <f>D53-D55-D56-D59</f>
        <v>43346.51449</v>
      </c>
      <c r="E57" s="86"/>
      <c r="F57" s="97">
        <f>F53-F55-F56-F59</f>
        <v>43346.51449</v>
      </c>
      <c r="G57" s="86"/>
      <c r="H57" s="86"/>
      <c r="I57" s="85"/>
      <c r="J57" s="85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</row>
    <row r="58">
      <c r="A58" s="77"/>
      <c r="B58" s="98"/>
      <c r="D58" s="98"/>
      <c r="E58" s="86"/>
      <c r="F58" s="98"/>
      <c r="G58" s="86"/>
      <c r="H58" s="86"/>
      <c r="I58" s="85"/>
      <c r="J58" s="84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</row>
    <row r="59">
      <c r="A59" s="77" t="s">
        <v>164</v>
      </c>
      <c r="B59" s="98">
        <v>0.127</v>
      </c>
      <c r="D59" s="98">
        <v>0.127</v>
      </c>
      <c r="E59" s="86"/>
      <c r="F59" s="98">
        <v>0.127</v>
      </c>
      <c r="G59" s="86"/>
      <c r="H59" s="86"/>
      <c r="I59" s="84" t="s">
        <v>165</v>
      </c>
      <c r="J59" s="84" t="s">
        <v>126</v>
      </c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</row>
    <row r="60">
      <c r="A60" s="77" t="s">
        <v>166</v>
      </c>
      <c r="B60" s="99">
        <f>B59*B21</f>
        <v>7620</v>
      </c>
      <c r="D60" s="99">
        <f>D59*D21</f>
        <v>7620</v>
      </c>
      <c r="E60" s="86"/>
      <c r="F60" s="99">
        <f>F59*F21</f>
        <v>7620</v>
      </c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</row>
    <row r="61">
      <c r="A61" s="86"/>
      <c r="B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</row>
    <row r="62">
      <c r="A62" s="88" t="s">
        <v>167</v>
      </c>
      <c r="B62" s="100">
        <f>B57-B60</f>
        <v>24156.26655</v>
      </c>
      <c r="D62" s="100">
        <f>D57-D60</f>
        <v>35726.51449</v>
      </c>
      <c r="E62" s="86"/>
      <c r="F62" s="100">
        <f>F57-F60</f>
        <v>35726.51449</v>
      </c>
      <c r="G62" s="86"/>
      <c r="H62" s="86"/>
      <c r="I62" s="85"/>
      <c r="J62" s="85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</row>
    <row r="63">
      <c r="A63" s="77"/>
      <c r="B63" s="98"/>
      <c r="D63" s="98"/>
      <c r="E63" s="86"/>
      <c r="F63" s="98"/>
      <c r="G63" s="86"/>
      <c r="H63" s="86"/>
      <c r="I63" s="84"/>
      <c r="J63" s="85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</row>
    <row r="64">
      <c r="A64" s="77" t="s">
        <v>168</v>
      </c>
      <c r="B64" s="101">
        <v>0.1785</v>
      </c>
      <c r="D64" s="101">
        <v>0.1785</v>
      </c>
      <c r="E64" s="86"/>
      <c r="F64" s="101">
        <v>0.1785</v>
      </c>
      <c r="G64" s="86"/>
      <c r="H64" s="86"/>
      <c r="I64" s="84"/>
      <c r="J64" s="85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</row>
    <row r="65">
      <c r="A65" s="77" t="s">
        <v>169</v>
      </c>
      <c r="B65" s="97">
        <f>B62*B64</f>
        <v>4311.89358</v>
      </c>
      <c r="D65" s="97">
        <f>D62*D64</f>
        <v>6377.182836</v>
      </c>
      <c r="E65" s="86"/>
      <c r="F65" s="97">
        <f>F62*F64</f>
        <v>6377.182836</v>
      </c>
      <c r="G65" s="86"/>
      <c r="H65" s="86"/>
      <c r="I65" s="84"/>
      <c r="J65" s="85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</row>
    <row r="66">
      <c r="A66" s="77"/>
      <c r="B66" s="97"/>
      <c r="D66" s="97"/>
      <c r="E66" s="86"/>
      <c r="F66" s="97"/>
      <c r="G66" s="86"/>
      <c r="H66" s="86"/>
      <c r="I66" s="84"/>
      <c r="J66" s="84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</row>
    <row r="67">
      <c r="A67" s="77" t="s">
        <v>170</v>
      </c>
      <c r="B67" s="97">
        <v>0.0</v>
      </c>
      <c r="D67" s="97">
        <v>0.0</v>
      </c>
      <c r="E67" s="86"/>
      <c r="F67" s="97">
        <v>0.0</v>
      </c>
      <c r="G67" s="86"/>
      <c r="H67" s="86"/>
      <c r="I67" s="84"/>
      <c r="J67" s="84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</row>
    <row r="68">
      <c r="A68" s="77" t="s">
        <v>171</v>
      </c>
      <c r="B68" s="97">
        <f>5700/2</f>
        <v>2850</v>
      </c>
      <c r="D68" s="97">
        <f>5700/2</f>
        <v>2850</v>
      </c>
      <c r="E68" s="86"/>
      <c r="F68" s="97">
        <f>5700/2</f>
        <v>2850</v>
      </c>
      <c r="G68" s="86"/>
      <c r="H68" s="86"/>
      <c r="I68" s="84" t="s">
        <v>172</v>
      </c>
      <c r="J68" s="84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</row>
    <row r="69">
      <c r="A69" s="77"/>
      <c r="B69" s="102"/>
      <c r="D69" s="102"/>
      <c r="E69" s="86"/>
      <c r="F69" s="102"/>
      <c r="G69" s="86"/>
      <c r="H69" s="86"/>
      <c r="I69" s="85"/>
      <c r="J69" s="85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</row>
    <row r="70">
      <c r="A70" s="77"/>
      <c r="B70" s="102"/>
      <c r="D70" s="102"/>
      <c r="E70" s="86"/>
      <c r="F70" s="102"/>
      <c r="G70" s="86"/>
      <c r="H70" s="86"/>
      <c r="I70" s="85"/>
      <c r="J70" s="85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</row>
    <row r="71">
      <c r="A71" s="77" t="s">
        <v>250</v>
      </c>
      <c r="B71" s="102"/>
      <c r="D71" s="102"/>
      <c r="E71" s="86"/>
      <c r="F71" s="102"/>
      <c r="G71" s="86"/>
      <c r="H71" s="86"/>
      <c r="I71" s="85"/>
      <c r="J71" s="85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</row>
    <row r="72">
      <c r="A72" s="77"/>
      <c r="B72" s="102"/>
      <c r="D72" s="102"/>
      <c r="E72" s="86"/>
      <c r="F72" s="102"/>
      <c r="G72" s="86"/>
      <c r="H72" s="86"/>
      <c r="I72" s="85"/>
      <c r="J72" s="85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</row>
    <row r="73">
      <c r="A73" s="77" t="s">
        <v>251</v>
      </c>
      <c r="B73" s="102"/>
      <c r="D73" s="102"/>
      <c r="E73" s="86"/>
      <c r="F73" s="102"/>
      <c r="G73" s="86"/>
      <c r="H73" s="86"/>
      <c r="I73" s="85"/>
      <c r="J73" s="85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</row>
    <row r="74">
      <c r="A74" s="77"/>
      <c r="B74" s="102"/>
      <c r="D74" s="102"/>
      <c r="E74" s="86"/>
      <c r="F74" s="102"/>
      <c r="G74" s="86"/>
      <c r="H74" s="86"/>
      <c r="I74" s="85"/>
      <c r="J74" s="85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</row>
    <row r="75">
      <c r="A75" s="103" t="s">
        <v>173</v>
      </c>
      <c r="B75" s="104">
        <f>B65-B68</f>
        <v>1461.89358</v>
      </c>
      <c r="D75" s="104">
        <f>D65-D68</f>
        <v>3527.182836</v>
      </c>
      <c r="E75" s="86"/>
      <c r="F75" s="104">
        <f>F65-F68</f>
        <v>3527.182836</v>
      </c>
      <c r="G75" s="86"/>
      <c r="H75" s="86"/>
      <c r="I75" s="85"/>
      <c r="J75" s="85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</row>
    <row r="76">
      <c r="A76" s="103"/>
      <c r="B76" s="105"/>
      <c r="D76" s="105"/>
      <c r="E76" s="108"/>
      <c r="F76" s="105"/>
      <c r="G76" s="108"/>
      <c r="H76" s="108"/>
      <c r="I76" s="106"/>
      <c r="J76" s="107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</row>
    <row r="77">
      <c r="A77" s="103" t="s">
        <v>174</v>
      </c>
      <c r="B77" s="109">
        <f>B75/B21</f>
        <v>0.024364893</v>
      </c>
      <c r="D77" s="109">
        <f>D75/D21</f>
        <v>0.0587863806</v>
      </c>
      <c r="E77" s="108"/>
      <c r="F77" s="109">
        <f>F75/F21</f>
        <v>0.0587863806</v>
      </c>
      <c r="G77" s="108"/>
      <c r="H77" s="108"/>
      <c r="I77" s="106"/>
      <c r="J77" s="107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</row>
    <row r="78">
      <c r="A78" s="88"/>
      <c r="B78" s="100"/>
      <c r="D78" s="100"/>
      <c r="E78" s="108"/>
      <c r="F78" s="100"/>
      <c r="G78" s="108"/>
      <c r="H78" s="108"/>
      <c r="I78" s="106"/>
      <c r="J78" s="107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</row>
    <row r="79">
      <c r="A79" s="90" t="s">
        <v>175</v>
      </c>
      <c r="B79" s="110">
        <f>B21-B75</f>
        <v>58538.10642</v>
      </c>
      <c r="D79" s="110">
        <f>D21-D75</f>
        <v>56472.81716</v>
      </c>
      <c r="E79" s="113"/>
      <c r="F79" s="110">
        <f>F21-F75</f>
        <v>56472.81716</v>
      </c>
      <c r="G79" s="113"/>
      <c r="H79" s="113"/>
      <c r="I79" s="111" t="s">
        <v>176</v>
      </c>
      <c r="J79" s="112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</row>
    <row r="80">
      <c r="A80" s="77"/>
      <c r="B80" s="83"/>
      <c r="D80" s="83"/>
      <c r="E80" s="86"/>
      <c r="F80" s="83"/>
      <c r="G80" s="86"/>
      <c r="H80" s="86"/>
      <c r="I80" s="84"/>
      <c r="J80" s="85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</row>
    <row r="81">
      <c r="A81" s="77" t="s">
        <v>177</v>
      </c>
      <c r="B81" s="83">
        <f>B79-B42+B30+B31</f>
        <v>50471.99072</v>
      </c>
      <c r="D81" s="83">
        <f>D79-D42+D30+D31</f>
        <v>48406.70146</v>
      </c>
      <c r="E81" s="86"/>
      <c r="F81" s="83">
        <f>F79-F42+F30+F31</f>
        <v>48406.70146</v>
      </c>
      <c r="G81" s="86"/>
      <c r="H81" s="86"/>
      <c r="I81" s="84"/>
      <c r="J81" s="85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</row>
    <row r="82">
      <c r="A82" s="77"/>
      <c r="B82" s="83"/>
      <c r="D82" s="83"/>
      <c r="E82" s="86"/>
      <c r="F82" s="83"/>
      <c r="G82" s="86"/>
      <c r="H82" s="86"/>
      <c r="I82" s="84"/>
      <c r="J82" s="85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</row>
    <row r="83">
      <c r="A83" s="77" t="s">
        <v>178</v>
      </c>
      <c r="B83" s="83">
        <f>B81/12</f>
        <v>4205.999226</v>
      </c>
      <c r="D83" s="83">
        <f>D81/12</f>
        <v>4033.891788</v>
      </c>
      <c r="E83" s="86"/>
      <c r="F83" s="83">
        <f>F81/12</f>
        <v>4033.891788</v>
      </c>
      <c r="G83" s="86"/>
      <c r="H83" s="86"/>
      <c r="I83" s="84"/>
      <c r="J83" s="85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</row>
    <row r="84">
      <c r="A84" s="77" t="s">
        <v>179</v>
      </c>
      <c r="B84" s="84">
        <f>B8+B11</f>
        <v>1000</v>
      </c>
      <c r="D84" s="84">
        <f>D8+D11</f>
        <v>1000</v>
      </c>
      <c r="E84" s="86"/>
      <c r="F84" s="84">
        <f>F8+F11</f>
        <v>1000</v>
      </c>
      <c r="G84" s="86"/>
      <c r="H84" s="86"/>
      <c r="I84" s="84"/>
      <c r="J84" s="85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</row>
    <row r="85">
      <c r="A85" s="77" t="s">
        <v>180</v>
      </c>
      <c r="B85" s="83">
        <f>B81/B84</f>
        <v>50.47199072</v>
      </c>
      <c r="D85" s="83">
        <f>D81/D84</f>
        <v>48.40670146</v>
      </c>
      <c r="E85" s="86"/>
      <c r="F85" s="83">
        <f>F81/F84</f>
        <v>48.40670146</v>
      </c>
      <c r="G85" s="86"/>
      <c r="H85" s="86"/>
      <c r="I85" s="84"/>
      <c r="J85" s="85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</row>
    <row r="86">
      <c r="A86" s="77"/>
      <c r="B86" s="83"/>
      <c r="D86" s="83"/>
      <c r="E86" s="86"/>
      <c r="F86" s="83"/>
      <c r="G86" s="86"/>
      <c r="H86" s="86"/>
      <c r="I86" s="84"/>
      <c r="J86" s="85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</row>
    <row r="87">
      <c r="A87" s="77" t="s">
        <v>252</v>
      </c>
      <c r="B87" s="102"/>
      <c r="D87" s="102"/>
      <c r="E87" s="86"/>
      <c r="F87" s="102"/>
      <c r="G87" s="86"/>
      <c r="H87" s="86"/>
      <c r="I87" s="85"/>
      <c r="J87" s="85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1.13"/>
  </cols>
  <sheetData>
    <row r="1">
      <c r="A1" s="142" t="s">
        <v>253</v>
      </c>
      <c r="B1" s="66">
        <v>2023.0</v>
      </c>
      <c r="C1" s="73" t="s">
        <v>50</v>
      </c>
    </row>
    <row r="2">
      <c r="A2" s="142"/>
      <c r="B2" s="142"/>
      <c r="C2" s="73"/>
    </row>
    <row r="4">
      <c r="A4" s="142" t="s">
        <v>254</v>
      </c>
      <c r="B4" s="142" t="s">
        <v>255</v>
      </c>
      <c r="C4" s="142">
        <v>17497.0</v>
      </c>
    </row>
    <row r="5">
      <c r="A5" s="142"/>
      <c r="B5" s="142"/>
      <c r="C5" s="143"/>
    </row>
    <row r="6">
      <c r="A6" s="142" t="s">
        <v>256</v>
      </c>
      <c r="B6" s="142" t="s">
        <v>257</v>
      </c>
      <c r="C6" s="143">
        <f>C4*9.28%</f>
        <v>1623.7216</v>
      </c>
    </row>
    <row r="7">
      <c r="A7" s="142" t="s">
        <v>258</v>
      </c>
      <c r="B7" s="142" t="s">
        <v>259</v>
      </c>
      <c r="C7" s="144">
        <f>C4*27.65%</f>
        <v>4837.9205</v>
      </c>
    </row>
    <row r="8">
      <c r="A8" s="145" t="s">
        <v>260</v>
      </c>
      <c r="B8" s="146" t="s">
        <v>261</v>
      </c>
      <c r="C8" s="147">
        <f>C6+C7</f>
        <v>6461.6421</v>
      </c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</row>
    <row r="9">
      <c r="A9" s="142"/>
      <c r="B9" s="142"/>
      <c r="C9" s="142"/>
    </row>
    <row r="10">
      <c r="A10" s="142" t="s">
        <v>262</v>
      </c>
      <c r="B10" s="142" t="s">
        <v>263</v>
      </c>
      <c r="C10" s="142">
        <v>-3070.0</v>
      </c>
    </row>
    <row r="11">
      <c r="A11" s="142"/>
      <c r="B11" s="142"/>
      <c r="C11" s="142"/>
    </row>
    <row r="12">
      <c r="A12" s="142" t="s">
        <v>264</v>
      </c>
      <c r="B12" s="142"/>
      <c r="C12" s="143">
        <f>C8+C10</f>
        <v>3391.6421</v>
      </c>
    </row>
    <row r="13">
      <c r="A13" s="142"/>
      <c r="B13" s="142"/>
      <c r="C13" s="142"/>
    </row>
    <row r="14">
      <c r="A14" s="142" t="s">
        <v>265</v>
      </c>
      <c r="B14" s="142"/>
      <c r="C14" s="142">
        <v>-3386.0</v>
      </c>
    </row>
    <row r="15">
      <c r="A15" s="142"/>
      <c r="B15" s="142"/>
      <c r="C15" s="142"/>
    </row>
    <row r="16">
      <c r="A16" s="142" t="s">
        <v>266</v>
      </c>
      <c r="B16" s="142"/>
      <c r="C16" s="143">
        <f>C12+C14</f>
        <v>5.6421</v>
      </c>
    </row>
    <row r="17">
      <c r="A17" s="142"/>
      <c r="B17" s="142"/>
      <c r="C17" s="142"/>
    </row>
    <row r="19">
      <c r="A19" s="142" t="s">
        <v>267</v>
      </c>
    </row>
    <row r="21">
      <c r="A21" s="142" t="s">
        <v>268</v>
      </c>
      <c r="C21" s="149">
        <v>17500.0</v>
      </c>
    </row>
    <row r="22">
      <c r="A22" s="142"/>
      <c r="C22" s="149"/>
      <c r="D22" s="81"/>
    </row>
    <row r="23">
      <c r="A23" s="142" t="s">
        <v>269</v>
      </c>
      <c r="C23" s="149">
        <v>1113.0</v>
      </c>
      <c r="D23" s="81"/>
    </row>
    <row r="24">
      <c r="A24" s="142" t="s">
        <v>270</v>
      </c>
      <c r="C24" s="149">
        <f>C23*12</f>
        <v>13356</v>
      </c>
      <c r="D24" s="81"/>
    </row>
    <row r="25">
      <c r="A25" s="142" t="s">
        <v>271</v>
      </c>
      <c r="C25" s="149">
        <f>C24+760</f>
        <v>14116</v>
      </c>
      <c r="D25" s="81"/>
    </row>
    <row r="26">
      <c r="A26" s="142"/>
      <c r="D26" s="142"/>
    </row>
    <row r="27">
      <c r="A27" s="142" t="s">
        <v>272</v>
      </c>
      <c r="C27" s="150">
        <f>C21-C25</f>
        <v>3384</v>
      </c>
      <c r="D27" s="142" t="s">
        <v>273</v>
      </c>
    </row>
    <row r="28">
      <c r="A28" s="142" t="s">
        <v>274</v>
      </c>
      <c r="C28" s="151">
        <f>C27/C21</f>
        <v>0.1933714286</v>
      </c>
    </row>
    <row r="29">
      <c r="A29" s="152" t="s">
        <v>275</v>
      </c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</row>
    <row r="31">
      <c r="A31" s="154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</row>
    <row r="32">
      <c r="A32" s="142"/>
      <c r="B32" s="66"/>
      <c r="C32" s="73"/>
    </row>
    <row r="33">
      <c r="A33" s="142" t="s">
        <v>253</v>
      </c>
      <c r="B33" s="66">
        <v>2024.0</v>
      </c>
      <c r="C33" s="73" t="s">
        <v>50</v>
      </c>
    </row>
    <row r="34">
      <c r="A34" s="142"/>
      <c r="B34" s="142"/>
      <c r="C34" s="73"/>
    </row>
    <row r="36">
      <c r="A36" s="142" t="s">
        <v>254</v>
      </c>
      <c r="B36" s="142" t="s">
        <v>255</v>
      </c>
      <c r="C36" s="142">
        <v>29363.0</v>
      </c>
    </row>
    <row r="37">
      <c r="A37" s="142"/>
      <c r="B37" s="142"/>
      <c r="C37" s="143"/>
    </row>
    <row r="38">
      <c r="A38" s="142" t="s">
        <v>256</v>
      </c>
      <c r="B38" s="142" t="s">
        <v>276</v>
      </c>
      <c r="C38" s="143">
        <f>C36*9.32%</f>
        <v>2736.6316</v>
      </c>
    </row>
    <row r="39">
      <c r="A39" s="142" t="s">
        <v>258</v>
      </c>
      <c r="B39" s="142" t="s">
        <v>277</v>
      </c>
      <c r="C39" s="144">
        <f>C36*27.65%</f>
        <v>8118.8695</v>
      </c>
    </row>
    <row r="40">
      <c r="A40" s="145" t="s">
        <v>260</v>
      </c>
      <c r="B40" s="146" t="s">
        <v>261</v>
      </c>
      <c r="C40" s="147">
        <f>C38+C39</f>
        <v>10855.5011</v>
      </c>
    </row>
    <row r="41">
      <c r="A41" s="142"/>
      <c r="B41" s="142"/>
      <c r="C41" s="142"/>
    </row>
    <row r="42">
      <c r="A42" s="142" t="s">
        <v>262</v>
      </c>
      <c r="B42" s="142" t="s">
        <v>278</v>
      </c>
      <c r="C42" s="142">
        <v>-3061.0</v>
      </c>
    </row>
    <row r="43">
      <c r="A43" s="142"/>
      <c r="B43" s="142"/>
      <c r="C43" s="142"/>
    </row>
    <row r="44">
      <c r="A44" s="142" t="s">
        <v>279</v>
      </c>
      <c r="B44" s="142"/>
      <c r="C44" s="143">
        <f>C40+C42</f>
        <v>7794.5011</v>
      </c>
    </row>
    <row r="45">
      <c r="A45" s="142"/>
      <c r="B45" s="142"/>
      <c r="C45" s="142"/>
    </row>
    <row r="46">
      <c r="A46" s="142" t="s">
        <v>265</v>
      </c>
      <c r="B46" s="142"/>
      <c r="C46" s="142">
        <v>-7479.0</v>
      </c>
    </row>
    <row r="47">
      <c r="A47" s="142"/>
      <c r="B47" s="142"/>
      <c r="C47" s="142"/>
    </row>
    <row r="48">
      <c r="A48" s="142" t="s">
        <v>280</v>
      </c>
      <c r="B48" s="142"/>
      <c r="C48" s="143">
        <f>C44+C46</f>
        <v>315.5011</v>
      </c>
    </row>
    <row r="49">
      <c r="A49" s="142"/>
      <c r="B49" s="142"/>
      <c r="C49" s="142"/>
    </row>
    <row r="51">
      <c r="A51" s="142" t="s">
        <v>281</v>
      </c>
    </row>
    <row r="53">
      <c r="A53" s="152" t="s">
        <v>282</v>
      </c>
      <c r="C53" s="155">
        <v>18900.0</v>
      </c>
    </row>
    <row r="55">
      <c r="A55" s="142" t="s">
        <v>283</v>
      </c>
      <c r="C55" s="149">
        <v>1196.0</v>
      </c>
      <c r="D55" s="81"/>
    </row>
    <row r="56">
      <c r="A56" s="142" t="s">
        <v>270</v>
      </c>
      <c r="C56" s="149">
        <f>C55*12</f>
        <v>14352</v>
      </c>
      <c r="D56" s="81"/>
    </row>
    <row r="57">
      <c r="A57" s="142" t="s">
        <v>284</v>
      </c>
      <c r="C57" s="149">
        <f>C56+848</f>
        <v>15200</v>
      </c>
      <c r="D57" s="81"/>
    </row>
    <row r="58">
      <c r="A58" s="142"/>
      <c r="C58" s="149"/>
    </row>
    <row r="59">
      <c r="A59" s="142" t="s">
        <v>272</v>
      </c>
      <c r="C59" s="150">
        <f>C53-C57</f>
        <v>3700</v>
      </c>
      <c r="D59" s="142" t="s">
        <v>285</v>
      </c>
    </row>
    <row r="60">
      <c r="A60" s="142" t="s">
        <v>286</v>
      </c>
      <c r="C60" s="151">
        <f>C59/C53</f>
        <v>0.1957671958</v>
      </c>
    </row>
    <row r="62">
      <c r="A62" s="142" t="s">
        <v>287</v>
      </c>
    </row>
    <row r="63">
      <c r="A63" s="142"/>
      <c r="C63" s="142"/>
    </row>
    <row r="64">
      <c r="A64" s="142" t="s">
        <v>115</v>
      </c>
      <c r="C64" s="142">
        <v>29400.0</v>
      </c>
    </row>
    <row r="65">
      <c r="A65" s="142" t="s">
        <v>288</v>
      </c>
      <c r="C65" s="156">
        <f>C64*37%</f>
        <v>10878</v>
      </c>
    </row>
    <row r="66">
      <c r="A66" s="142" t="s">
        <v>289</v>
      </c>
      <c r="C66" s="142">
        <v>10500.0</v>
      </c>
    </row>
    <row r="67">
      <c r="C67" s="156">
        <f>C66*37%</f>
        <v>3885</v>
      </c>
    </row>
    <row r="68">
      <c r="A68" s="142"/>
      <c r="C68" s="153"/>
    </row>
    <row r="69">
      <c r="A69" s="142" t="s">
        <v>290</v>
      </c>
      <c r="C69" s="153">
        <f>C64-C66</f>
        <v>18900</v>
      </c>
    </row>
    <row r="71">
      <c r="A71" s="152" t="s">
        <v>275</v>
      </c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</row>
    <row r="72">
      <c r="A72" s="154"/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</row>
    <row r="73">
      <c r="A73" s="142"/>
      <c r="B73" s="66"/>
      <c r="C73" s="73"/>
    </row>
    <row r="74">
      <c r="A74" s="152" t="s">
        <v>253</v>
      </c>
      <c r="B74" s="157">
        <v>2025.0</v>
      </c>
      <c r="C74" s="158" t="s">
        <v>50</v>
      </c>
      <c r="D74" s="153"/>
      <c r="E74" s="153"/>
      <c r="F74" s="153"/>
      <c r="G74" s="153"/>
      <c r="H74" s="153"/>
      <c r="I74" s="153"/>
      <c r="J74" s="153"/>
      <c r="K74" s="153"/>
      <c r="L74" s="153"/>
      <c r="M74" s="153"/>
      <c r="N74" s="153"/>
      <c r="O74" s="153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</row>
    <row r="75">
      <c r="A75" s="142"/>
      <c r="B75" s="142"/>
      <c r="C75" s="73"/>
    </row>
    <row r="77">
      <c r="A77" s="142" t="s">
        <v>254</v>
      </c>
      <c r="B77" s="142" t="s">
        <v>255</v>
      </c>
      <c r="C77" s="142">
        <v>28370.0</v>
      </c>
    </row>
    <row r="78">
      <c r="A78" s="142" t="s">
        <v>291</v>
      </c>
      <c r="C78" s="142">
        <v>-8670.0</v>
      </c>
    </row>
    <row r="79">
      <c r="A79" s="142"/>
      <c r="B79" s="142"/>
      <c r="C79" s="143"/>
    </row>
    <row r="80">
      <c r="A80" s="142" t="s">
        <v>292</v>
      </c>
      <c r="B80" s="142"/>
      <c r="C80" s="143">
        <f>C77+C78</f>
        <v>19700</v>
      </c>
    </row>
    <row r="81">
      <c r="A81" s="142"/>
      <c r="B81" s="142"/>
      <c r="C81" s="143"/>
    </row>
    <row r="82">
      <c r="A82" s="142" t="s">
        <v>256</v>
      </c>
      <c r="B82" s="142" t="s">
        <v>293</v>
      </c>
      <c r="C82" s="143">
        <f>C77*9%</f>
        <v>2553.3</v>
      </c>
    </row>
    <row r="83">
      <c r="A83" s="142" t="s">
        <v>258</v>
      </c>
      <c r="B83" s="142" t="s">
        <v>294</v>
      </c>
      <c r="C83" s="144">
        <f>C77*27%</f>
        <v>7659.9</v>
      </c>
    </row>
    <row r="84">
      <c r="A84" s="145" t="s">
        <v>260</v>
      </c>
      <c r="B84" s="146" t="s">
        <v>295</v>
      </c>
      <c r="C84" s="147">
        <f>C82+C83</f>
        <v>10213.2</v>
      </c>
    </row>
    <row r="85">
      <c r="A85" s="142"/>
      <c r="B85" s="142"/>
      <c r="C85" s="142"/>
    </row>
    <row r="86">
      <c r="A86" s="142" t="s">
        <v>262</v>
      </c>
      <c r="B86" s="142" t="s">
        <v>296</v>
      </c>
      <c r="C86" s="142">
        <v>-3073.0</v>
      </c>
    </row>
    <row r="87">
      <c r="A87" s="142"/>
      <c r="B87" s="142"/>
      <c r="C87" s="142"/>
    </row>
    <row r="88">
      <c r="A88" s="142" t="s">
        <v>297</v>
      </c>
      <c r="B88" s="142"/>
      <c r="C88" s="143">
        <f>C84+C86</f>
        <v>7140.2</v>
      </c>
    </row>
    <row r="89">
      <c r="A89" s="142"/>
      <c r="B89" s="142"/>
      <c r="C89" s="142"/>
    </row>
    <row r="90">
      <c r="A90" s="142" t="s">
        <v>298</v>
      </c>
      <c r="B90" s="142"/>
      <c r="C90" s="142">
        <f>-(C80*20%)</f>
        <v>-3940</v>
      </c>
    </row>
    <row r="91">
      <c r="A91" s="142"/>
      <c r="B91" s="142"/>
      <c r="C91" s="142"/>
    </row>
    <row r="92">
      <c r="A92" s="7" t="s">
        <v>299</v>
      </c>
      <c r="B92" s="7"/>
      <c r="C92" s="159">
        <f>C88+C90</f>
        <v>3200.2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160"/>
      <c r="B93" s="160"/>
      <c r="C93" s="160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  <c r="Z93" s="161"/>
    </row>
    <row r="94">
      <c r="A94" s="160" t="s">
        <v>275</v>
      </c>
      <c r="B94" s="160"/>
      <c r="C94" s="160"/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  <c r="X94" s="161"/>
      <c r="Y94" s="161"/>
      <c r="Z94" s="161"/>
    </row>
    <row r="95">
      <c r="A95" s="162"/>
      <c r="B95" s="162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</row>
    <row r="96">
      <c r="A96" s="142" t="s">
        <v>300</v>
      </c>
    </row>
    <row r="98">
      <c r="A98" s="142" t="s">
        <v>282</v>
      </c>
      <c r="C98" s="149">
        <v>19700.0</v>
      </c>
    </row>
    <row r="100">
      <c r="A100" s="142" t="s">
        <v>301</v>
      </c>
      <c r="C100" s="149">
        <v>1250.0</v>
      </c>
      <c r="D100" s="81"/>
    </row>
    <row r="101">
      <c r="A101" s="142" t="s">
        <v>270</v>
      </c>
      <c r="C101" s="149">
        <f>C100*12</f>
        <v>15000</v>
      </c>
      <c r="D101" s="81"/>
    </row>
    <row r="102">
      <c r="A102" s="142" t="s">
        <v>302</v>
      </c>
      <c r="C102" s="149">
        <f>C101+820</f>
        <v>15820</v>
      </c>
      <c r="D102" s="81"/>
    </row>
    <row r="103">
      <c r="A103" s="142"/>
      <c r="C103" s="149"/>
    </row>
    <row r="104">
      <c r="A104" s="142" t="s">
        <v>272</v>
      </c>
      <c r="C104" s="150">
        <f>C98-C102</f>
        <v>3880</v>
      </c>
      <c r="D104" s="142" t="s">
        <v>285</v>
      </c>
    </row>
    <row r="105">
      <c r="A105" s="142" t="s">
        <v>274</v>
      </c>
      <c r="C105" s="151">
        <f>C104/C98</f>
        <v>0.1969543147</v>
      </c>
    </row>
    <row r="107">
      <c r="A107" s="142" t="s">
        <v>287</v>
      </c>
    </row>
    <row r="108">
      <c r="A108" s="142"/>
      <c r="C108" s="142"/>
    </row>
    <row r="109">
      <c r="A109" s="142" t="s">
        <v>115</v>
      </c>
      <c r="C109" s="149">
        <v>28370.0</v>
      </c>
    </row>
    <row r="110">
      <c r="A110" s="142" t="s">
        <v>303</v>
      </c>
      <c r="C110" s="150">
        <f>C109*36%</f>
        <v>10213.2</v>
      </c>
    </row>
    <row r="111">
      <c r="A111" s="142" t="s">
        <v>304</v>
      </c>
      <c r="C111" s="149">
        <v>10300.0</v>
      </c>
    </row>
    <row r="112">
      <c r="C112" s="150">
        <f>C111*37%</f>
        <v>3811</v>
      </c>
    </row>
    <row r="113">
      <c r="A113" s="142"/>
      <c r="C113" s="163"/>
    </row>
    <row r="114">
      <c r="A114" s="142" t="s">
        <v>305</v>
      </c>
      <c r="C114" s="163">
        <f>C109-C111</f>
        <v>18070</v>
      </c>
    </row>
    <row r="118">
      <c r="A118" s="164"/>
      <c r="B118" s="164"/>
      <c r="C118" s="164"/>
      <c r="D118" s="164"/>
      <c r="E118" s="164"/>
      <c r="F118" s="164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</row>
    <row r="119">
      <c r="A119" s="152" t="s">
        <v>253</v>
      </c>
      <c r="B119" s="157">
        <v>2026.0</v>
      </c>
      <c r="C119" s="158" t="s">
        <v>50</v>
      </c>
      <c r="D119" s="153"/>
      <c r="E119" s="153"/>
      <c r="F119" s="153"/>
      <c r="G119" s="153"/>
      <c r="H119" s="153"/>
      <c r="I119" s="153"/>
      <c r="J119" s="153"/>
      <c r="K119" s="153"/>
      <c r="L119" s="153"/>
      <c r="M119" s="153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</row>
    <row r="120">
      <c r="A120" s="142"/>
      <c r="B120" s="142"/>
      <c r="C120" s="73"/>
    </row>
    <row r="122">
      <c r="A122" s="142" t="s">
        <v>254</v>
      </c>
      <c r="B122" s="142" t="s">
        <v>255</v>
      </c>
      <c r="C122" s="142">
        <v>37000.0</v>
      </c>
    </row>
    <row r="123">
      <c r="A123" s="142" t="s">
        <v>291</v>
      </c>
      <c r="C123" s="142">
        <v>16000.0</v>
      </c>
    </row>
    <row r="124">
      <c r="A124" s="142"/>
      <c r="B124" s="142"/>
      <c r="C124" s="143"/>
    </row>
    <row r="125">
      <c r="A125" s="142" t="s">
        <v>292</v>
      </c>
      <c r="B125" s="142"/>
      <c r="C125" s="143">
        <v>21000.0</v>
      </c>
    </row>
    <row r="126">
      <c r="A126" s="142"/>
      <c r="B126" s="142"/>
      <c r="C126" s="143"/>
    </row>
    <row r="127">
      <c r="A127" s="142" t="s">
        <v>256</v>
      </c>
      <c r="B127" s="142" t="s">
        <v>293</v>
      </c>
      <c r="C127" s="143">
        <f>C122*9%</f>
        <v>3330</v>
      </c>
    </row>
    <row r="128">
      <c r="A128" s="142" t="s">
        <v>258</v>
      </c>
      <c r="B128" s="142" t="s">
        <v>294</v>
      </c>
      <c r="C128" s="144">
        <f>C122*27%</f>
        <v>9990</v>
      </c>
    </row>
    <row r="129">
      <c r="A129" s="145" t="s">
        <v>260</v>
      </c>
      <c r="B129" s="146" t="s">
        <v>295</v>
      </c>
      <c r="C129" s="147">
        <f>C127+C128</f>
        <v>13320</v>
      </c>
    </row>
    <row r="130">
      <c r="A130" s="142"/>
      <c r="B130" s="142"/>
      <c r="C130" s="142"/>
    </row>
    <row r="131">
      <c r="A131" s="142" t="s">
        <v>262</v>
      </c>
      <c r="B131" s="142" t="s">
        <v>306</v>
      </c>
      <c r="C131" s="142">
        <v>-3720.0</v>
      </c>
    </row>
    <row r="132">
      <c r="A132" s="142"/>
      <c r="B132" s="142"/>
      <c r="C132" s="142"/>
    </row>
    <row r="133">
      <c r="A133" s="152" t="s">
        <v>307</v>
      </c>
      <c r="B133" s="152"/>
      <c r="C133" s="165">
        <f>C129+C131</f>
        <v>9600</v>
      </c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</row>
    <row r="134">
      <c r="A134" s="142"/>
      <c r="B134" s="142"/>
      <c r="C134" s="142"/>
    </row>
    <row r="135">
      <c r="A135" s="142" t="s">
        <v>308</v>
      </c>
      <c r="B135" s="142"/>
      <c r="C135" s="142">
        <f>-(C125*20%)</f>
        <v>-4200</v>
      </c>
    </row>
    <row r="136">
      <c r="A136" s="142"/>
      <c r="B136" s="142"/>
      <c r="C136" s="142"/>
    </row>
    <row r="137">
      <c r="A137" s="7" t="s">
        <v>309</v>
      </c>
      <c r="B137" s="7"/>
      <c r="C137" s="159">
        <f>C133+C135</f>
        <v>5400</v>
      </c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60"/>
      <c r="B138" s="160"/>
      <c r="C138" s="160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</row>
    <row r="139">
      <c r="A139" s="166" t="s">
        <v>310</v>
      </c>
      <c r="B139" s="167"/>
      <c r="C139" s="167"/>
      <c r="D139" s="167"/>
      <c r="E139" s="167"/>
      <c r="F139" s="167"/>
      <c r="G139" s="167"/>
      <c r="H139" s="167"/>
      <c r="I139" s="167"/>
      <c r="J139" s="167"/>
      <c r="K139" s="167"/>
      <c r="L139" s="167"/>
      <c r="M139" s="167"/>
      <c r="N139" s="167"/>
      <c r="O139" s="167"/>
      <c r="P139" s="167"/>
      <c r="Q139" s="167"/>
      <c r="R139" s="167"/>
      <c r="S139" s="167"/>
      <c r="T139" s="167"/>
      <c r="U139" s="167"/>
      <c r="V139" s="167"/>
      <c r="W139" s="167"/>
      <c r="X139" s="167"/>
      <c r="Y139" s="167"/>
      <c r="Z139" s="16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38"/>
    <col customWidth="1" min="2" max="2" width="53.5"/>
    <col customWidth="1" min="3" max="3" width="22.38"/>
  </cols>
  <sheetData>
    <row r="1">
      <c r="A1" s="168"/>
      <c r="B1" s="168"/>
      <c r="C1" s="169">
        <v>2026.0</v>
      </c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</row>
    <row r="2">
      <c r="A2" s="48" t="s">
        <v>311</v>
      </c>
      <c r="B2" s="7" t="s">
        <v>312</v>
      </c>
      <c r="C2" s="9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>
      <c r="A3" s="7"/>
      <c r="B3" s="8"/>
      <c r="C3" s="9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>
      <c r="A4" s="7" t="s">
        <v>313</v>
      </c>
      <c r="B4" s="8"/>
      <c r="C4" s="9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>
      <c r="A5" s="7"/>
      <c r="B5" s="8"/>
      <c r="C5" s="9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>
      <c r="A6" s="7"/>
      <c r="B6" s="8"/>
      <c r="C6" s="9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>
      <c r="A7" s="7" t="s">
        <v>314</v>
      </c>
      <c r="B7" s="8"/>
      <c r="C7" s="9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>
      <c r="A8" s="3" t="s">
        <v>315</v>
      </c>
      <c r="B8" s="3">
        <v>1267.0</v>
      </c>
      <c r="C8" s="6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>
      <c r="A9" s="3"/>
      <c r="B9" s="18"/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>
      <c r="A10" s="3" t="s">
        <v>316</v>
      </c>
      <c r="B10" s="18"/>
      <c r="C10" s="4" t="s">
        <v>317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>
      <c r="A11" s="170" t="s">
        <v>318</v>
      </c>
      <c r="B11" s="171"/>
      <c r="C11" s="171">
        <v>2420.0</v>
      </c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</row>
    <row r="12">
      <c r="A12" s="7"/>
      <c r="B12" s="173"/>
      <c r="C12" s="10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>
      <c r="A13" s="7"/>
      <c r="B13" s="173"/>
      <c r="C13" s="10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>
      <c r="A14" s="7" t="s">
        <v>319</v>
      </c>
      <c r="B14" s="174"/>
      <c r="C14" s="174">
        <v>1640.0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>
      <c r="A15" s="3"/>
      <c r="B15" s="5"/>
      <c r="C15" s="6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>
      <c r="A16" s="3" t="s">
        <v>320</v>
      </c>
      <c r="B16" s="5"/>
      <c r="C16" s="6">
        <f>C14*12</f>
        <v>19680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>
      <c r="A17" s="3" t="s">
        <v>321</v>
      </c>
      <c r="B17" s="5"/>
      <c r="C17" s="6">
        <f>C16 + 1270</f>
        <v>20950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>
      <c r="A18" s="3" t="s">
        <v>322</v>
      </c>
      <c r="B18" s="5"/>
      <c r="C18" s="6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>
      <c r="A19" s="175" t="s">
        <v>323</v>
      </c>
      <c r="B19" s="5"/>
      <c r="C19" s="6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>
      <c r="A20" s="176"/>
      <c r="B20" s="176"/>
      <c r="C20" s="177"/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</row>
    <row r="21">
      <c r="A21" s="5"/>
      <c r="B21" s="5"/>
      <c r="C21" s="6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>
      <c r="A22" s="3" t="s">
        <v>324</v>
      </c>
      <c r="B22" s="5"/>
      <c r="C22" s="6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>
      <c r="A23" s="3" t="s">
        <v>325</v>
      </c>
      <c r="B23" s="5"/>
      <c r="C23" s="4">
        <v>1554.0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>
      <c r="A24" s="3" t="s">
        <v>326</v>
      </c>
      <c r="B24" s="5"/>
      <c r="C24" s="4">
        <v>2067.0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>
      <c r="A25" s="3" t="s">
        <v>327</v>
      </c>
      <c r="B25" s="5"/>
      <c r="C25" s="4">
        <v>540.0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>
      <c r="A26" s="3" t="s">
        <v>328</v>
      </c>
      <c r="B26" s="5"/>
      <c r="C26" s="4">
        <f>C23+C24+C25</f>
        <v>4161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>
      <c r="A27" s="3"/>
      <c r="B27" s="5"/>
      <c r="C27" s="4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>
      <c r="A28" s="3" t="s">
        <v>329</v>
      </c>
      <c r="B28" s="5"/>
      <c r="C28" s="4">
        <v>29740.0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>
      <c r="A29" s="5"/>
      <c r="B29" s="5"/>
      <c r="C29" s="6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>
      <c r="A30" s="5"/>
      <c r="B30" s="5"/>
      <c r="C30" s="6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>
      <c r="A31" s="7" t="s">
        <v>330</v>
      </c>
      <c r="B31" s="8"/>
      <c r="C31" s="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>
      <c r="A32" s="3"/>
      <c r="B32" s="3"/>
      <c r="C32" s="178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>
      <c r="A33" s="3" t="s">
        <v>331</v>
      </c>
      <c r="B33" s="3"/>
      <c r="C33" s="18">
        <v>0.86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>
      <c r="A34" s="3"/>
      <c r="B34" s="3"/>
      <c r="C34" s="178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>
      <c r="A35" s="3" t="s">
        <v>332</v>
      </c>
      <c r="B35" s="3" t="s">
        <v>333</v>
      </c>
      <c r="C35" s="179">
        <v>0.17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>
      <c r="A36" s="3" t="s">
        <v>334</v>
      </c>
      <c r="B36" s="3" t="s">
        <v>335</v>
      </c>
      <c r="C36" s="179">
        <v>0.36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>
      <c r="A37" s="3"/>
      <c r="B37" s="3"/>
      <c r="C37" s="178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>
      <c r="A38" s="3" t="s">
        <v>336</v>
      </c>
      <c r="B38" s="3" t="s">
        <v>337</v>
      </c>
      <c r="C38" s="178">
        <v>0.06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>
      <c r="A39" s="3" t="s">
        <v>338</v>
      </c>
      <c r="B39" s="3" t="s">
        <v>339</v>
      </c>
      <c r="C39" s="178">
        <v>0.0526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>
      <c r="A40" s="3"/>
      <c r="B40" s="3"/>
      <c r="C40" s="180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>
      <c r="A41" s="3"/>
      <c r="B41" s="3"/>
      <c r="C41" s="180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>
      <c r="A42" s="3" t="s">
        <v>340</v>
      </c>
      <c r="B42" s="3" t="s">
        <v>341</v>
      </c>
      <c r="C42" s="4">
        <f>C14</f>
        <v>1640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>
      <c r="A43" s="3" t="s">
        <v>342</v>
      </c>
      <c r="B43" s="3" t="s">
        <v>341</v>
      </c>
      <c r="C43" s="4">
        <f t="shared" ref="C43:D43" si="1">C42*0.9</f>
        <v>1476</v>
      </c>
      <c r="D43" s="181">
        <f t="shared" si="1"/>
        <v>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>
      <c r="A44" s="3"/>
      <c r="B44" s="3"/>
      <c r="C44" s="4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>
      <c r="A45" s="3" t="s">
        <v>343</v>
      </c>
      <c r="B45" s="3" t="s">
        <v>341</v>
      </c>
      <c r="C45" s="4">
        <f>12*C43</f>
        <v>17712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>
      <c r="A46" s="7" t="s">
        <v>344</v>
      </c>
      <c r="B46" s="7" t="s">
        <v>341</v>
      </c>
      <c r="C46" s="10">
        <f>C45+1200</f>
        <v>18912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>
      <c r="A47" s="3"/>
      <c r="B47" s="3"/>
      <c r="C47" s="4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>
      <c r="A48" s="3" t="s">
        <v>345</v>
      </c>
      <c r="B48" s="3" t="s">
        <v>341</v>
      </c>
      <c r="C48" s="4" t="str">
        <f>#REF!</f>
        <v>#REF!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>
      <c r="A49" s="3" t="s">
        <v>346</v>
      </c>
      <c r="B49" s="3" t="s">
        <v>341</v>
      </c>
      <c r="C49" s="4" t="str">
        <f>12*C48</f>
        <v>#REF!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>
      <c r="A50" s="3" t="s">
        <v>347</v>
      </c>
      <c r="B50" s="3" t="s">
        <v>341</v>
      </c>
      <c r="C50" s="4" t="str">
        <f>C49+C53</f>
        <v>#REF!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>
      <c r="A51" s="3"/>
      <c r="B51" s="3"/>
      <c r="C51" s="4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>
      <c r="A52" s="3"/>
      <c r="B52" s="3"/>
      <c r="C52" s="4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>
      <c r="A53" s="3" t="s">
        <v>348</v>
      </c>
      <c r="B53" s="3" t="s">
        <v>349</v>
      </c>
      <c r="C53" s="4">
        <v>1000.0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>
      <c r="A54" s="3" t="s">
        <v>350</v>
      </c>
      <c r="B54" s="3" t="s">
        <v>351</v>
      </c>
      <c r="C54" s="4">
        <v>1200.0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>
      <c r="A55" s="3"/>
      <c r="B55" s="3"/>
      <c r="C55" s="4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>
      <c r="A56" s="7" t="s">
        <v>352</v>
      </c>
      <c r="B56" s="7" t="s">
        <v>353</v>
      </c>
      <c r="C56" s="10">
        <f>C89</f>
        <v>33791.2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>
      <c r="A57" s="3"/>
      <c r="B57" s="3"/>
      <c r="C57" s="4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>
      <c r="A58" s="3" t="s">
        <v>354</v>
      </c>
      <c r="B58" s="3"/>
      <c r="C58" s="4">
        <v>1554.0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>
      <c r="A59" s="3"/>
      <c r="B59" s="3"/>
      <c r="C59" s="4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>
      <c r="A60" s="3"/>
      <c r="B60" s="3"/>
      <c r="C60" s="4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>
      <c r="A61" s="3" t="s">
        <v>355</v>
      </c>
      <c r="B61" s="3"/>
      <c r="C61" s="4">
        <f>C56-29740</f>
        <v>4051.2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>
      <c r="A62" s="3" t="s">
        <v>356</v>
      </c>
      <c r="B62" s="3"/>
      <c r="C62" s="4">
        <v>0.0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>
      <c r="A63" s="182" t="s">
        <v>357</v>
      </c>
      <c r="B63" s="182"/>
      <c r="C63" s="183">
        <f>C58-((C61)*6%)</f>
        <v>1310.928</v>
      </c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</row>
    <row r="64">
      <c r="A64" s="3" t="s">
        <v>358</v>
      </c>
      <c r="B64" s="3"/>
      <c r="C64" s="4">
        <f>C58-C63</f>
        <v>243.072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>
      <c r="A65" s="3"/>
      <c r="B65" s="3"/>
      <c r="C65" s="4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>
      <c r="A66" s="3"/>
      <c r="B66" s="3"/>
      <c r="C66" s="4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>
      <c r="A67" s="3" t="s">
        <v>359</v>
      </c>
      <c r="B67" s="3"/>
      <c r="C67" s="4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>
      <c r="A68" s="3" t="s">
        <v>360</v>
      </c>
      <c r="B68" s="5"/>
      <c r="C68" s="185">
        <f>IFERROR(__xludf.DUMMYFUNCTION("GOOGLEFINANCE(""TSLA"")"),449.72)</f>
        <v>449.72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>
      <c r="A69" s="3" t="s">
        <v>361</v>
      </c>
      <c r="B69" s="5"/>
      <c r="C69" s="18">
        <v>0.704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>
      <c r="A70" s="3"/>
      <c r="B70" s="3"/>
      <c r="C70" s="4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>
      <c r="A71" s="186" t="s">
        <v>362</v>
      </c>
      <c r="B71" s="186" t="s">
        <v>363</v>
      </c>
      <c r="C71" s="187">
        <v>500.0</v>
      </c>
      <c r="D71" s="188"/>
      <c r="E71" s="188"/>
      <c r="F71" s="188"/>
      <c r="G71" s="188"/>
      <c r="H71" s="188"/>
      <c r="I71" s="188"/>
      <c r="J71" s="188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</row>
    <row r="72">
      <c r="A72" s="3"/>
      <c r="B72" s="3"/>
      <c r="C72" s="4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>
      <c r="A73" s="189" t="s">
        <v>364</v>
      </c>
      <c r="B73" s="189"/>
      <c r="C73" s="21">
        <f>C71*C69*1000</f>
        <v>352000</v>
      </c>
      <c r="D73" s="190"/>
      <c r="E73" s="190"/>
      <c r="F73" s="190"/>
      <c r="G73" s="190"/>
      <c r="H73" s="190"/>
      <c r="I73" s="190"/>
      <c r="J73" s="190"/>
      <c r="K73" s="190"/>
      <c r="L73" s="190"/>
      <c r="M73" s="190"/>
      <c r="N73" s="190"/>
      <c r="O73" s="190"/>
      <c r="P73" s="190"/>
      <c r="Q73" s="190"/>
      <c r="R73" s="190"/>
      <c r="S73" s="190"/>
      <c r="T73" s="190"/>
      <c r="U73" s="190"/>
      <c r="V73" s="190"/>
    </row>
    <row r="74">
      <c r="A74" s="3"/>
      <c r="B74" s="3"/>
      <c r="C74" s="4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>
      <c r="A75" s="170" t="s">
        <v>365</v>
      </c>
      <c r="B75" s="170"/>
      <c r="C75" s="171">
        <f>C73*C33</f>
        <v>302720</v>
      </c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</row>
    <row r="76">
      <c r="A76" s="5"/>
      <c r="B76" s="5"/>
      <c r="C76" s="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>
      <c r="A77" s="191" t="s">
        <v>366</v>
      </c>
      <c r="B77" s="191" t="s">
        <v>367</v>
      </c>
      <c r="C77" s="192">
        <f>C75</f>
        <v>302720</v>
      </c>
      <c r="D77" s="193"/>
      <c r="E77" s="193"/>
      <c r="F77" s="193"/>
      <c r="G77" s="193"/>
      <c r="H77" s="193"/>
      <c r="I77" s="193"/>
      <c r="J77" s="193"/>
      <c r="K77" s="193"/>
      <c r="L77" s="193"/>
      <c r="M77" s="193"/>
      <c r="N77" s="193"/>
      <c r="O77" s="193"/>
      <c r="P77" s="193"/>
      <c r="Q77" s="193"/>
      <c r="R77" s="193"/>
      <c r="S77" s="193"/>
      <c r="T77" s="193"/>
      <c r="U77" s="193"/>
      <c r="V77" s="193"/>
    </row>
    <row r="78">
      <c r="A78" s="3"/>
      <c r="B78" s="3"/>
      <c r="C78" s="4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>
      <c r="A79" s="3" t="s">
        <v>368</v>
      </c>
      <c r="B79" s="3" t="s">
        <v>369</v>
      </c>
      <c r="C79" s="194">
        <v>51400.0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>
      <c r="A80" s="182" t="s">
        <v>370</v>
      </c>
      <c r="B80" s="182" t="s">
        <v>371</v>
      </c>
      <c r="C80" s="183">
        <f>C77-C79</f>
        <v>251320</v>
      </c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</row>
    <row r="81">
      <c r="A81" s="3"/>
      <c r="B81" s="3"/>
      <c r="C81" s="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>
      <c r="A82" s="3" t="s">
        <v>372</v>
      </c>
      <c r="B82" s="3" t="s">
        <v>373</v>
      </c>
      <c r="C82" s="4">
        <f>C80*C38</f>
        <v>15079.2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>
      <c r="A83" s="3"/>
      <c r="B83" s="195"/>
      <c r="C83" s="19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>
      <c r="A84" s="186" t="s">
        <v>374</v>
      </c>
      <c r="B84" s="197"/>
      <c r="C84" s="198">
        <f>C36*C82</f>
        <v>5428.512</v>
      </c>
      <c r="D84" s="188"/>
      <c r="E84" s="188"/>
      <c r="F84" s="188"/>
      <c r="G84" s="188"/>
      <c r="H84" s="188"/>
      <c r="I84" s="188"/>
      <c r="J84" s="188"/>
      <c r="K84" s="188"/>
      <c r="L84" s="188"/>
      <c r="M84" s="188"/>
      <c r="N84" s="188"/>
      <c r="O84" s="188"/>
      <c r="P84" s="188"/>
      <c r="Q84" s="188"/>
      <c r="R84" s="188"/>
      <c r="S84" s="188"/>
      <c r="T84" s="188"/>
      <c r="U84" s="188"/>
      <c r="V84" s="188"/>
    </row>
    <row r="85">
      <c r="A85" s="3"/>
      <c r="B85" s="3"/>
      <c r="C85" s="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>
      <c r="A86" s="3" t="s">
        <v>375</v>
      </c>
      <c r="B86" s="3" t="s">
        <v>376</v>
      </c>
      <c r="C86" s="4">
        <f>(C43*12) +C53</f>
        <v>18712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>
      <c r="A87" s="199" t="s">
        <v>377</v>
      </c>
      <c r="B87" s="199" t="s">
        <v>378</v>
      </c>
      <c r="C87" s="196">
        <f>C39*C86</f>
        <v>984.2512</v>
      </c>
      <c r="D87" s="200"/>
      <c r="E87" s="200"/>
      <c r="F87" s="200"/>
      <c r="G87" s="200"/>
      <c r="H87" s="200"/>
      <c r="I87" s="200"/>
      <c r="J87" s="200"/>
      <c r="K87" s="200"/>
      <c r="L87" s="200"/>
      <c r="M87" s="200"/>
      <c r="N87" s="200"/>
      <c r="O87" s="200"/>
      <c r="P87" s="200"/>
      <c r="Q87" s="200"/>
      <c r="R87" s="200"/>
      <c r="S87" s="200"/>
      <c r="T87" s="200"/>
      <c r="U87" s="200"/>
      <c r="V87" s="200"/>
    </row>
    <row r="88">
      <c r="A88" s="3"/>
      <c r="B88" s="3"/>
      <c r="C88" s="4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>
      <c r="A89" s="3" t="s">
        <v>115</v>
      </c>
      <c r="B89" s="3" t="s">
        <v>379</v>
      </c>
      <c r="C89" s="201">
        <f>C82+C86</f>
        <v>33791.2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>
      <c r="A90" s="3"/>
      <c r="B90" s="3"/>
      <c r="C90" s="19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>
      <c r="A91" s="3" t="s">
        <v>380</v>
      </c>
      <c r="B91" s="3" t="s">
        <v>381</v>
      </c>
      <c r="C91" s="196">
        <f>C84+C87</f>
        <v>6412.7632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>
      <c r="A92" s="3"/>
      <c r="B92" s="3"/>
      <c r="C92" s="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>
      <c r="A93" s="3"/>
      <c r="B93" s="3"/>
      <c r="C93" s="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>
      <c r="A94" s="3" t="s">
        <v>382</v>
      </c>
      <c r="B94" s="3"/>
      <c r="C94" s="4">
        <f>C63</f>
        <v>1310.928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>
      <c r="A95" s="3" t="s">
        <v>383</v>
      </c>
      <c r="B95" s="3" t="s">
        <v>384</v>
      </c>
      <c r="C95" s="4">
        <v>2067.0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>
      <c r="A96" s="3" t="s">
        <v>385</v>
      </c>
      <c r="B96" s="3"/>
      <c r="C96" s="194">
        <v>540.0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>
      <c r="A97" s="3"/>
      <c r="B97" s="3"/>
      <c r="C97" s="201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>
      <c r="A98" s="3" t="s">
        <v>75</v>
      </c>
      <c r="B98" s="3"/>
      <c r="C98" s="201">
        <f>sum(C94:C96)</f>
        <v>3917.928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>
      <c r="A99" s="3"/>
      <c r="B99" s="3"/>
      <c r="C99" s="4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>
      <c r="A100" s="202" t="s">
        <v>386</v>
      </c>
      <c r="B100" s="203" t="s">
        <v>387</v>
      </c>
      <c r="C100" s="204">
        <f>C91-C98</f>
        <v>2494.8352</v>
      </c>
      <c r="D100" s="205"/>
      <c r="E100" s="205"/>
      <c r="F100" s="205"/>
      <c r="G100" s="205"/>
      <c r="H100" s="205"/>
      <c r="I100" s="205"/>
      <c r="J100" s="205"/>
      <c r="K100" s="205"/>
      <c r="L100" s="205"/>
      <c r="M100" s="205"/>
      <c r="N100" s="205"/>
      <c r="O100" s="205"/>
      <c r="P100" s="205"/>
      <c r="Q100" s="205"/>
      <c r="R100" s="205"/>
      <c r="S100" s="205"/>
      <c r="T100" s="205"/>
      <c r="U100" s="205"/>
      <c r="V100" s="205"/>
    </row>
    <row r="101">
      <c r="A101" s="3"/>
      <c r="B101" s="3"/>
      <c r="C101" s="178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>
      <c r="A102" s="3" t="s">
        <v>388</v>
      </c>
      <c r="B102" s="3"/>
      <c r="C102" s="178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>
      <c r="A103" s="3" t="s">
        <v>389</v>
      </c>
      <c r="B103" s="3"/>
      <c r="C103" s="178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>
      <c r="A104" s="3" t="s">
        <v>390</v>
      </c>
      <c r="B104" s="3"/>
      <c r="C104" s="178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>
      <c r="A105" s="3"/>
      <c r="B105" s="3"/>
      <c r="C105" s="178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>
      <c r="A106" s="3"/>
      <c r="B106" s="3"/>
      <c r="C106" s="178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>
      <c r="A107" s="3" t="s">
        <v>391</v>
      </c>
      <c r="B107" s="3"/>
      <c r="C107" s="178">
        <f>C100/C75</f>
        <v>0.008241395349</v>
      </c>
      <c r="D107" s="3" t="s">
        <v>392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>
      <c r="A108" s="3"/>
      <c r="B108" s="3"/>
      <c r="C108" s="4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>
      <c r="A109" s="3" t="s">
        <v>393</v>
      </c>
      <c r="B109" s="3" t="s">
        <v>394</v>
      </c>
      <c r="C109" s="201" t="str">
        <f>C48*12+C53</f>
        <v>#REF!</v>
      </c>
      <c r="D109" s="206" t="str">
        <f>#REF!</f>
        <v>#REF!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>
      <c r="A110" s="3"/>
      <c r="B110" s="3"/>
      <c r="C110" s="4"/>
      <c r="D110" s="207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>
      <c r="A111" s="3" t="s">
        <v>103</v>
      </c>
      <c r="B111" s="3" t="s">
        <v>104</v>
      </c>
      <c r="C111" s="4">
        <v>6000.0</v>
      </c>
      <c r="D111" s="181">
        <v>6000.0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>
      <c r="A112" s="3" t="s">
        <v>103</v>
      </c>
      <c r="B112" s="3" t="s">
        <v>105</v>
      </c>
      <c r="C112" s="4">
        <v>1000.0</v>
      </c>
      <c r="D112" s="181">
        <v>1000.0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>
      <c r="A113" s="3" t="s">
        <v>103</v>
      </c>
      <c r="B113" s="3" t="s">
        <v>106</v>
      </c>
      <c r="C113" s="4">
        <v>4000.0</v>
      </c>
      <c r="D113" s="181">
        <v>4000.0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>
      <c r="A114" s="3" t="s">
        <v>103</v>
      </c>
      <c r="B114" s="3" t="s">
        <v>395</v>
      </c>
      <c r="C114" s="4">
        <v>1800.0</v>
      </c>
      <c r="D114" s="181">
        <v>1800.0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>
      <c r="A115" s="3" t="s">
        <v>108</v>
      </c>
      <c r="B115" s="3"/>
      <c r="C115" s="196">
        <f t="shared" ref="C115:D115" si="2">Sum(C111:C114)</f>
        <v>12800</v>
      </c>
      <c r="D115" s="208">
        <f t="shared" si="2"/>
        <v>12800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>
      <c r="A116" s="3" t="s">
        <v>396</v>
      </c>
      <c r="B116" s="3"/>
      <c r="C116" s="4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>
      <c r="A117" s="3"/>
      <c r="B117" s="3"/>
      <c r="C117" s="4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>
      <c r="A118" s="3" t="s">
        <v>397</v>
      </c>
      <c r="B118" s="3"/>
      <c r="C118" s="209" t="str">
        <f t="shared" ref="C118:D118" si="3">C109-C115</f>
        <v>#REF!</v>
      </c>
      <c r="D118" s="210" t="str">
        <f t="shared" si="3"/>
        <v>#REF!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>
      <c r="A119" s="3" t="s">
        <v>398</v>
      </c>
      <c r="B119" s="3"/>
      <c r="C119" s="209" t="str">
        <f t="shared" ref="C119:D119" si="4">C118+4000</f>
        <v>#REF!</v>
      </c>
      <c r="D119" s="210" t="str">
        <f t="shared" si="4"/>
        <v>#REF!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>
      <c r="A120" s="3"/>
      <c r="B120" s="3"/>
      <c r="C120" s="4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>
      <c r="A121" s="3" t="s">
        <v>399</v>
      </c>
      <c r="B121" s="3"/>
      <c r="C121" s="4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>
      <c r="A122" s="3" t="s">
        <v>400</v>
      </c>
      <c r="B122" s="3"/>
      <c r="C122" s="4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>
      <c r="A123" s="3" t="s">
        <v>401</v>
      </c>
      <c r="B123" s="3"/>
      <c r="C123" s="4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>
      <c r="A124" s="3"/>
      <c r="B124" s="3"/>
      <c r="C124" s="4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>
      <c r="A125" s="3"/>
      <c r="B125" s="3"/>
      <c r="C125" s="4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>
      <c r="A126" s="211" t="s">
        <v>402</v>
      </c>
      <c r="B126" s="211"/>
      <c r="C126" s="212" t="str">
        <f t="shared" ref="C126:D126" si="5">C118-C100</f>
        <v>#REF!</v>
      </c>
      <c r="D126" s="213" t="str">
        <f t="shared" si="5"/>
        <v>#REF!</v>
      </c>
      <c r="E126" s="214"/>
      <c r="F126" s="214"/>
      <c r="G126" s="214"/>
      <c r="H126" s="214"/>
      <c r="I126" s="214"/>
      <c r="J126" s="214"/>
      <c r="K126" s="214"/>
      <c r="L126" s="214"/>
      <c r="M126" s="214"/>
      <c r="N126" s="214"/>
      <c r="O126" s="214"/>
      <c r="P126" s="214"/>
      <c r="Q126" s="214"/>
      <c r="R126" s="214"/>
      <c r="S126" s="214"/>
      <c r="T126" s="214"/>
      <c r="U126" s="214"/>
      <c r="V126" s="214"/>
    </row>
    <row r="127">
      <c r="A127" s="3"/>
      <c r="B127" s="3"/>
      <c r="C127" s="4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>
      <c r="A128" s="3" t="s">
        <v>403</v>
      </c>
      <c r="B128" s="3" t="s">
        <v>404</v>
      </c>
      <c r="C128" s="4">
        <f>C100</f>
        <v>2494.8352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>
      <c r="A129" s="5"/>
      <c r="B129" s="3" t="s">
        <v>405</v>
      </c>
      <c r="C129" s="215">
        <f>C128/C75</f>
        <v>0.008241395349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>
      <c r="A130" s="5"/>
      <c r="B130" s="3" t="s">
        <v>406</v>
      </c>
      <c r="C130" s="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>
      <c r="A131" s="5"/>
      <c r="B131" s="5"/>
      <c r="C131" s="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>
      <c r="A132" s="211" t="s">
        <v>407</v>
      </c>
      <c r="B132" s="211"/>
      <c r="C132" s="216" t="str">
        <f t="shared" ref="C132:D132" si="6">C118-C100</f>
        <v>#REF!</v>
      </c>
      <c r="D132" s="217" t="str">
        <f t="shared" si="6"/>
        <v>#REF!</v>
      </c>
      <c r="E132" s="214"/>
      <c r="F132" s="214"/>
      <c r="G132" s="214"/>
      <c r="H132" s="214"/>
      <c r="I132" s="214"/>
      <c r="J132" s="214"/>
      <c r="K132" s="214"/>
      <c r="L132" s="214"/>
      <c r="M132" s="214"/>
      <c r="N132" s="214"/>
      <c r="O132" s="214"/>
      <c r="P132" s="214"/>
      <c r="Q132" s="214"/>
      <c r="R132" s="214"/>
      <c r="S132" s="214"/>
      <c r="T132" s="214"/>
      <c r="U132" s="214"/>
      <c r="V132" s="214"/>
    </row>
    <row r="133">
      <c r="A133" s="5"/>
      <c r="B133" s="3"/>
      <c r="C133" s="21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>
      <c r="A134" s="3" t="s">
        <v>408</v>
      </c>
      <c r="B134" s="3"/>
      <c r="C134" s="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>
      <c r="A135" s="5"/>
      <c r="B135" s="5"/>
      <c r="C135" s="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>
      <c r="A136" s="3" t="s">
        <v>112</v>
      </c>
      <c r="B136" s="5"/>
      <c r="C136" s="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>
      <c r="A137" s="3" t="s">
        <v>113</v>
      </c>
      <c r="B137" s="5"/>
      <c r="C137" s="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>
      <c r="A138" s="3"/>
      <c r="B138" s="5"/>
      <c r="C138" s="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>
      <c r="A139" s="3" t="s">
        <v>409</v>
      </c>
      <c r="B139" s="5"/>
      <c r="C139" s="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>
      <c r="A140" s="168"/>
      <c r="B140" s="168"/>
      <c r="C140" s="21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>
      <c r="A142" s="219" t="s">
        <v>410</v>
      </c>
      <c r="B142" s="220">
        <v>2025.0</v>
      </c>
      <c r="C142" s="220">
        <v>2026.0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>
      <c r="A143" s="221"/>
      <c r="B143" s="222"/>
      <c r="C143" s="222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>
      <c r="A144" s="221" t="s">
        <v>411</v>
      </c>
      <c r="B144" s="222">
        <v>3068.0</v>
      </c>
      <c r="C144" s="222">
        <v>3115.0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>
      <c r="A145" s="221" t="s">
        <v>412</v>
      </c>
      <c r="B145" s="223">
        <v>1.536</v>
      </c>
      <c r="C145" s="222">
        <v>1554.0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>
      <c r="A146" s="221" t="s">
        <v>413</v>
      </c>
      <c r="B146" s="223">
        <v>28.406</v>
      </c>
      <c r="C146" s="222">
        <v>29736.0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>
      <c r="A147" s="221" t="s">
        <v>414</v>
      </c>
      <c r="B147" s="223">
        <v>63.37</v>
      </c>
      <c r="C147" s="223">
        <v>63.06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>
      <c r="A148" s="221" t="s">
        <v>415</v>
      </c>
      <c r="B148" s="223">
        <v>31.7</v>
      </c>
      <c r="C148" s="224">
        <v>0.03144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>
      <c r="A149" s="221" t="s">
        <v>416</v>
      </c>
      <c r="B149" s="223">
        <v>5.599</v>
      </c>
      <c r="C149" s="223">
        <v>5.712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>
      <c r="A150" s="221" t="s">
        <v>417</v>
      </c>
      <c r="B150" s="223">
        <v>43.071</v>
      </c>
      <c r="C150" s="222">
        <v>45593.0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>
      <c r="A151" s="221" t="s">
        <v>418</v>
      </c>
      <c r="B151" s="223" t="s">
        <v>419</v>
      </c>
      <c r="C151" s="223" t="s">
        <v>419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>
      <c r="A153" s="175" t="s">
        <v>420</v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>
      <c r="A156" s="145" t="s">
        <v>421</v>
      </c>
      <c r="B156" s="200"/>
      <c r="C156" s="200"/>
      <c r="D156" s="200"/>
      <c r="E156" s="200"/>
      <c r="F156" s="200"/>
      <c r="G156" s="200"/>
      <c r="H156" s="200"/>
      <c r="I156" s="200"/>
      <c r="J156" s="200"/>
      <c r="K156" s="200"/>
      <c r="L156" s="200"/>
      <c r="M156" s="200"/>
      <c r="N156" s="200"/>
      <c r="O156" s="200"/>
      <c r="P156" s="200"/>
      <c r="Q156" s="200"/>
      <c r="R156" s="200"/>
      <c r="S156" s="200"/>
      <c r="T156" s="200"/>
      <c r="U156" s="200"/>
      <c r="V156" s="200"/>
    </row>
    <row r="157">
      <c r="A157" s="148"/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200"/>
      <c r="P157" s="200"/>
      <c r="Q157" s="200"/>
      <c r="R157" s="200"/>
      <c r="S157" s="200"/>
      <c r="T157" s="200"/>
      <c r="U157" s="200"/>
      <c r="V157" s="200"/>
    </row>
    <row r="158">
      <c r="A158" s="145" t="s">
        <v>422</v>
      </c>
      <c r="B158" s="200"/>
      <c r="C158" s="200"/>
      <c r="D158" s="200"/>
      <c r="E158" s="200"/>
      <c r="F158" s="200"/>
      <c r="G158" s="200"/>
      <c r="H158" s="200"/>
      <c r="I158" s="200"/>
      <c r="J158" s="200"/>
      <c r="K158" s="200"/>
      <c r="L158" s="200"/>
      <c r="M158" s="200"/>
      <c r="N158" s="200"/>
      <c r="O158" s="200"/>
      <c r="P158" s="200"/>
      <c r="Q158" s="200"/>
      <c r="R158" s="200"/>
      <c r="S158" s="200"/>
      <c r="T158" s="200"/>
      <c r="U158" s="200"/>
      <c r="V158" s="200"/>
    </row>
    <row r="159">
      <c r="A159" s="148"/>
      <c r="B159" s="200"/>
      <c r="C159" s="200"/>
      <c r="D159" s="200"/>
      <c r="E159" s="200"/>
      <c r="F159" s="200"/>
      <c r="G159" s="200"/>
      <c r="H159" s="200"/>
      <c r="I159" s="200"/>
      <c r="J159" s="200"/>
      <c r="K159" s="200"/>
      <c r="L159" s="200"/>
      <c r="M159" s="200"/>
      <c r="N159" s="200"/>
      <c r="O159" s="200"/>
      <c r="P159" s="200"/>
      <c r="Q159" s="200"/>
      <c r="R159" s="200"/>
      <c r="S159" s="200"/>
      <c r="T159" s="200"/>
      <c r="U159" s="200"/>
      <c r="V159" s="200"/>
    </row>
    <row r="160">
      <c r="A160" s="145" t="s">
        <v>423</v>
      </c>
      <c r="B160" s="200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R160" s="200"/>
      <c r="S160" s="200"/>
      <c r="T160" s="200"/>
      <c r="U160" s="200"/>
      <c r="V160" s="200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>
      <c r="A162" s="3" t="s">
        <v>424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>
      <c r="A164" s="142" t="s">
        <v>425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</row>
    <row r="166">
      <c r="A166" s="80" t="s">
        <v>426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>
      <c r="A167" s="22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>
      <c r="A168" s="80" t="s">
        <v>427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>
      <c r="A169" s="22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>
      <c r="A170" s="226" t="s">
        <v>428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>
      <c r="A171" s="22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>
      <c r="A172" s="226" t="s">
        <v>429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>
      <c r="A173" s="22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>
      <c r="A174" s="227" t="s">
        <v>430</v>
      </c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</row>
    <row r="175">
      <c r="A175" s="228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</row>
    <row r="176">
      <c r="A176" s="227" t="s">
        <v>431</v>
      </c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</row>
    <row r="177">
      <c r="A177" s="227" t="s">
        <v>432</v>
      </c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</row>
    <row r="178">
      <c r="A178" s="227" t="s">
        <v>433</v>
      </c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</row>
    <row r="179">
      <c r="A179" s="227" t="s">
        <v>434</v>
      </c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</row>
    <row r="180">
      <c r="A180" s="80" t="s">
        <v>435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>
      <c r="A181" s="80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>
      <c r="A182" s="80" t="s">
        <v>436</v>
      </c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>
      <c r="A183" s="22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>
      <c r="A184" s="80" t="s">
        <v>437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>
      <c r="A185" s="80" t="s">
        <v>438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>
      <c r="A186" s="80" t="s">
        <v>439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>
      <c r="A187" s="80" t="s">
        <v>440</v>
      </c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>
      <c r="A188" s="22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>
      <c r="A189" s="80" t="s">
        <v>441</v>
      </c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</row>
  </sheetData>
  <hyperlinks>
    <hyperlink r:id="rId1" ref="A19"/>
    <hyperlink r:id="rId2" ref="A153"/>
    <hyperlink r:id="rId3" ref="A170"/>
    <hyperlink r:id="rId4" ref="A172"/>
  </hyperlinks>
  <drawing r:id="rId5"/>
</worksheet>
</file>